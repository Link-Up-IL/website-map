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FD Partners" sheetId="2" r:id="rId5"/>
    <sheet state="visible" name="BM Partners" sheetId="3" r:id="rId6"/>
    <sheet state="visible" name="Links" sheetId="4" r:id="rId7"/>
  </sheets>
  <definedNames/>
  <calcPr/>
</workbook>
</file>

<file path=xl/sharedStrings.xml><?xml version="1.0" encoding="utf-8"?>
<sst xmlns="http://schemas.openxmlformats.org/spreadsheetml/2006/main" count="60" uniqueCount="23">
  <si>
    <t>Partner Program Name</t>
  </si>
  <si>
    <t>Type</t>
  </si>
  <si>
    <t>Latitude, Longitude</t>
  </si>
  <si>
    <t>Visible Street Address</t>
  </si>
  <si>
    <t>Visible Street Address Line 2</t>
  </si>
  <si>
    <t>City</t>
  </si>
  <si>
    <t>State</t>
  </si>
  <si>
    <t>Zip</t>
  </si>
  <si>
    <t>Open Date</t>
  </si>
  <si>
    <t>Close Date</t>
  </si>
  <si>
    <t>Days</t>
  </si>
  <si>
    <t>Hours</t>
  </si>
  <si>
    <t>Frequency</t>
  </si>
  <si>
    <t>Website</t>
  </si>
  <si>
    <t>Instagram</t>
  </si>
  <si>
    <t>Facebook</t>
  </si>
  <si>
    <t>Region</t>
  </si>
  <si>
    <t>Notes</t>
  </si>
  <si>
    <t>Active?</t>
  </si>
  <si>
    <t>BM Partner IDs</t>
  </si>
  <si>
    <t>https://docs.google.com/spreadsheets/d/11YAxvVbRUok4gdwJIwwRQmPPrD9ZG2FZlhiwJXM9_Nc/edit?gid=0#gid=0</t>
  </si>
  <si>
    <t>FD Partner IDs</t>
  </si>
  <si>
    <t>https://docs.google.com/spreadsheets/d/1ybwXqfx87Or2XfZ3Lv_PlC0tsAupNcVKN-_3kEJ2xh8/edit?gid=0#gid=0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</si>
</sst>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6">
    <font>
      <sz val="10.0"/>
      <color rgb="FF000000"/>
      <name val="Arial"/>
      <scheme val="minor"/>
    </font>
    <font>
      <b/>
      <color theme="1"/>
      <name val="Arial"/>
      <scheme val="minor"/>
    </font>
    <font>
      <color theme="1"/>
      <name val="Arial"/>
      <scheme val="minor"/>
    </font>
    <font>
      <u/>
      <color rgb="FF0000FF"/>
    </font>
    <font>
      <b/>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2" numFmtId="0" xfId="0" applyAlignment="1" applyFont="1">
      <alignment horizontal="right"/>
    </xf>
    <xf borderId="0" fillId="0" fontId="2" numFmtId="164" xfId="0" applyAlignment="1" applyFont="1" applyNumberFormat="1">
      <alignment horizontal="right"/>
    </xf>
    <xf borderId="0" fillId="0" fontId="3" numFmtId="0" xfId="0" applyFont="1"/>
    <xf borderId="0" fillId="0" fontId="2" numFmtId="164" xfId="0" applyFont="1" applyNumberFormat="1"/>
    <xf borderId="0" fillId="0" fontId="2" numFmtId="165" xfId="0" applyAlignment="1" applyFont="1" applyNumberFormat="1">
      <alignment horizontal="right"/>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0"/>
    </xf>
    <xf borderId="0" fillId="0" fontId="2" numFmtId="165" xfId="0" applyFont="1" applyNumberFormat="1"/>
    <xf borderId="0" fillId="0" fontId="2" numFmtId="0" xfId="0" applyAlignment="1" applyFont="1">
      <alignment readingOrder="0"/>
    </xf>
    <xf borderId="0" fillId="0" fontId="5" numFmtId="0" xfId="0" applyAlignment="1" applyFont="1">
      <alignment readingOrder="0"/>
    </xf>
  </cellXfs>
  <cellStyles count="1">
    <cellStyle xfId="0" name="Normal" builtinId="0"/>
  </cellStyles>
  <dxfs count="1">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instagram.com/fortyacresfreshmarket" TargetMode="External"/><Relationship Id="rId42" Type="http://schemas.openxmlformats.org/officeDocument/2006/relationships/hyperlink" Target="http://www.urbangrowerscollective.org/" TargetMode="External"/><Relationship Id="rId41" Type="http://schemas.openxmlformats.org/officeDocument/2006/relationships/hyperlink" Target="http://www.facebook.com/people/Forty-Acres-Fresh-Market/100084716291348/" TargetMode="External"/><Relationship Id="rId44" Type="http://schemas.openxmlformats.org/officeDocument/2006/relationships/hyperlink" Target="http://www.facebook.com/urbangrowerscollective/" TargetMode="External"/><Relationship Id="rId43" Type="http://schemas.openxmlformats.org/officeDocument/2006/relationships/hyperlink" Target="http://www.instagram.com/urbangrowerscollective/" TargetMode="External"/><Relationship Id="rId46" Type="http://schemas.openxmlformats.org/officeDocument/2006/relationships/hyperlink" Target="http://www.instagram.com/greencitymarket" TargetMode="External"/><Relationship Id="rId45" Type="http://schemas.openxmlformats.org/officeDocument/2006/relationships/hyperlink" Target="http://greencitymarket.org" TargetMode="External"/><Relationship Id="rId107" Type="http://schemas.openxmlformats.org/officeDocument/2006/relationships/hyperlink" Target="http://www.instagram.com/woodstockfarmersmkt" TargetMode="External"/><Relationship Id="rId106" Type="http://schemas.openxmlformats.org/officeDocument/2006/relationships/hyperlink" Target="https://woodstockfarmersmarket.org/" TargetMode="External"/><Relationship Id="rId105" Type="http://schemas.openxmlformats.org/officeDocument/2006/relationships/hyperlink" Target="http://www.facebook.com/WarsawMercantile" TargetMode="External"/><Relationship Id="rId104" Type="http://schemas.openxmlformats.org/officeDocument/2006/relationships/hyperlink" Target="http://www.facebook.com/vinestreetmarketofallon" TargetMode="External"/><Relationship Id="rId109" Type="http://schemas.openxmlformats.org/officeDocument/2006/relationships/hyperlink" Target="http://www.urbangrowerscollective.org/" TargetMode="External"/><Relationship Id="rId108" Type="http://schemas.openxmlformats.org/officeDocument/2006/relationships/hyperlink" Target="http://www.facebook.com/woodstockfarmersmarket" TargetMode="External"/><Relationship Id="rId48" Type="http://schemas.openxmlformats.org/officeDocument/2006/relationships/hyperlink" Target="http://greencitymarket.org" TargetMode="External"/><Relationship Id="rId47" Type="http://schemas.openxmlformats.org/officeDocument/2006/relationships/hyperlink" Target="http://www.facebook.com/greencitymarket" TargetMode="External"/><Relationship Id="rId49" Type="http://schemas.openxmlformats.org/officeDocument/2006/relationships/hyperlink" Target="http://www.instagram.com/greencitymarket" TargetMode="External"/><Relationship Id="rId103" Type="http://schemas.openxmlformats.org/officeDocument/2006/relationships/hyperlink" Target="http://www.instagram.com/vinestreetmarketofallon/" TargetMode="External"/><Relationship Id="rId102" Type="http://schemas.openxmlformats.org/officeDocument/2006/relationships/hyperlink" Target="https://ofallonparksandrec.com/vine-street-market/" TargetMode="External"/><Relationship Id="rId101" Type="http://schemas.openxmlformats.org/officeDocument/2006/relationships/hyperlink" Target="http://www.facebook.com/urbangrowerscollective/" TargetMode="External"/><Relationship Id="rId100" Type="http://schemas.openxmlformats.org/officeDocument/2006/relationships/hyperlink" Target="http://www.instagram.com/urbangrowerscollective/" TargetMode="External"/><Relationship Id="rId31" Type="http://schemas.openxmlformats.org/officeDocument/2006/relationships/hyperlink" Target="http://www.instagram.com/findingjusticegarden" TargetMode="External"/><Relationship Id="rId30" Type="http://schemas.openxmlformats.org/officeDocument/2006/relationships/hyperlink" Target="http://www.findingjusticegarden.com" TargetMode="External"/><Relationship Id="rId33" Type="http://schemas.openxmlformats.org/officeDocument/2006/relationships/hyperlink" Target="http://www.findingjusticegarden.com" TargetMode="External"/><Relationship Id="rId32" Type="http://schemas.openxmlformats.org/officeDocument/2006/relationships/hyperlink" Target="http://www.facebook.com/findingjusticegarden" TargetMode="External"/><Relationship Id="rId35" Type="http://schemas.openxmlformats.org/officeDocument/2006/relationships/hyperlink" Target="http://www.facebook.com/findingjusticegarden" TargetMode="External"/><Relationship Id="rId34" Type="http://schemas.openxmlformats.org/officeDocument/2006/relationships/hyperlink" Target="http://www.instagram.com/findingjusticegarden" TargetMode="External"/><Relationship Id="rId37" Type="http://schemas.openxmlformats.org/officeDocument/2006/relationships/hyperlink" Target="http://www.instagram.com/findingjusticegarden" TargetMode="External"/><Relationship Id="rId36" Type="http://schemas.openxmlformats.org/officeDocument/2006/relationships/hyperlink" Target="http://www.findingjusticegarden.com" TargetMode="External"/><Relationship Id="rId39" Type="http://schemas.openxmlformats.org/officeDocument/2006/relationships/hyperlink" Target="http://fortyacresfreshmarket.com/delivery" TargetMode="External"/><Relationship Id="rId38" Type="http://schemas.openxmlformats.org/officeDocument/2006/relationships/hyperlink" Target="http://www.facebook.com/findingjusticegarden" TargetMode="External"/><Relationship Id="rId20" Type="http://schemas.openxmlformats.org/officeDocument/2006/relationships/hyperlink" Target="http://www.downtownbloomington.org/farmers-market" TargetMode="External"/><Relationship Id="rId22" Type="http://schemas.openxmlformats.org/officeDocument/2006/relationships/hyperlink" Target="http://www.facebook.com/BLMFarmersMarket" TargetMode="External"/><Relationship Id="rId21" Type="http://schemas.openxmlformats.org/officeDocument/2006/relationships/hyperlink" Target="http://www.instagram.com/bloomingtonmarket/" TargetMode="External"/><Relationship Id="rId24" Type="http://schemas.openxmlformats.org/officeDocument/2006/relationships/hyperlink" Target="http://www.instagram.com/evanston_farmers_market/" TargetMode="External"/><Relationship Id="rId23" Type="http://schemas.openxmlformats.org/officeDocument/2006/relationships/hyperlink" Target="https://www.cityofevanston.org/government/departments/parks-recreation-community-services/programs-events/farmers-market-indoor" TargetMode="External"/><Relationship Id="rId129" Type="http://schemas.openxmlformats.org/officeDocument/2006/relationships/hyperlink" Target="https://www.facebook.com/MiMexicoGroceryStore/" TargetMode="External"/><Relationship Id="rId128" Type="http://schemas.openxmlformats.org/officeDocument/2006/relationships/hyperlink" Target="https://www.livingfreshmarket.com/" TargetMode="External"/><Relationship Id="rId127" Type="http://schemas.openxmlformats.org/officeDocument/2006/relationships/hyperlink" Target="https://www.jewelosco.com/" TargetMode="External"/><Relationship Id="rId126" Type="http://schemas.openxmlformats.org/officeDocument/2006/relationships/hyperlink" Target="https://www.jewelosco.com/" TargetMode="External"/><Relationship Id="rId26" Type="http://schemas.openxmlformats.org/officeDocument/2006/relationships/hyperlink" Target="http://www.instagram.com/windycityharvest/" TargetMode="External"/><Relationship Id="rId121" Type="http://schemas.openxmlformats.org/officeDocument/2006/relationships/hyperlink" Target="https://www.jewelosco.com/" TargetMode="External"/><Relationship Id="rId25" Type="http://schemas.openxmlformats.org/officeDocument/2006/relationships/hyperlink" Target="http://www.chicagobotanic.org/urbanagriculture/farm_on_ogden" TargetMode="External"/><Relationship Id="rId120" Type="http://schemas.openxmlformats.org/officeDocument/2006/relationships/hyperlink" Target="https://greentopgrocery.com/" TargetMode="External"/><Relationship Id="rId28" Type="http://schemas.openxmlformats.org/officeDocument/2006/relationships/hyperlink" Target="http://www.farmersmarketcarbondale.com/" TargetMode="External"/><Relationship Id="rId27" Type="http://schemas.openxmlformats.org/officeDocument/2006/relationships/hyperlink" Target="http://www.facebook.com/windycityharvest/" TargetMode="External"/><Relationship Id="rId125" Type="http://schemas.openxmlformats.org/officeDocument/2006/relationships/hyperlink" Target="https://www.jewelosco.com/" TargetMode="External"/><Relationship Id="rId29" Type="http://schemas.openxmlformats.org/officeDocument/2006/relationships/hyperlink" Target="http://www.facebook.com/farmersmarketcarbondale/" TargetMode="External"/><Relationship Id="rId124" Type="http://schemas.openxmlformats.org/officeDocument/2006/relationships/hyperlink" Target="https://www.jewelosco.com/" TargetMode="External"/><Relationship Id="rId123" Type="http://schemas.openxmlformats.org/officeDocument/2006/relationships/hyperlink" Target="https://www.jewelosco.com/" TargetMode="External"/><Relationship Id="rId122" Type="http://schemas.openxmlformats.org/officeDocument/2006/relationships/hyperlink" Target="https://www.jewelosco.com/" TargetMode="External"/><Relationship Id="rId95" Type="http://schemas.openxmlformats.org/officeDocument/2006/relationships/hyperlink" Target="http://www.facebook.com/TopBoxFoods/" TargetMode="External"/><Relationship Id="rId94" Type="http://schemas.openxmlformats.org/officeDocument/2006/relationships/hyperlink" Target="http://www.instagram.com/topboxfoods" TargetMode="External"/><Relationship Id="rId97" Type="http://schemas.openxmlformats.org/officeDocument/2006/relationships/hyperlink" Target="http://www.instagram.com/twincitymarket/" TargetMode="External"/><Relationship Id="rId96" Type="http://schemas.openxmlformats.org/officeDocument/2006/relationships/hyperlink" Target="https://twincityfarmersmarket.com/" TargetMode="External"/><Relationship Id="rId11" Type="http://schemas.openxmlformats.org/officeDocument/2006/relationships/hyperlink" Target="http://www.facebook.com/farmersmarketnorthillinois/" TargetMode="External"/><Relationship Id="rId99" Type="http://schemas.openxmlformats.org/officeDocument/2006/relationships/hyperlink" Target="http://www.urbangrowerscollective.org/chicago-local-csa" TargetMode="External"/><Relationship Id="rId10" Type="http://schemas.openxmlformats.org/officeDocument/2006/relationships/hyperlink" Target="http://www.instagram.com/farmersmarketbelleville" TargetMode="External"/><Relationship Id="rId98" Type="http://schemas.openxmlformats.org/officeDocument/2006/relationships/hyperlink" Target="http://www.facebook.com/twincityfarmersmarket" TargetMode="External"/><Relationship Id="rId13" Type="http://schemas.openxmlformats.org/officeDocument/2006/relationships/hyperlink" Target="http://www.instagram.com/cufarmersmarkets/" TargetMode="External"/><Relationship Id="rId12" Type="http://schemas.openxmlformats.org/officeDocument/2006/relationships/hyperlink" Target="http://www.thelandconnection.org/champaign-farmers-market/" TargetMode="External"/><Relationship Id="rId91" Type="http://schemas.openxmlformats.org/officeDocument/2006/relationships/hyperlink" Target="http://www.instagram.com/TheodoraFarms" TargetMode="External"/><Relationship Id="rId90" Type="http://schemas.openxmlformats.org/officeDocument/2006/relationships/hyperlink" Target="http://www.theodorafarms.com" TargetMode="External"/><Relationship Id="rId93" Type="http://schemas.openxmlformats.org/officeDocument/2006/relationships/hyperlink" Target="http://www.topboxfoods.com" TargetMode="External"/><Relationship Id="rId92" Type="http://schemas.openxmlformats.org/officeDocument/2006/relationships/hyperlink" Target="http://www.facebook.com/theodorafarms" TargetMode="External"/><Relationship Id="rId118" Type="http://schemas.openxmlformats.org/officeDocument/2006/relationships/hyperlink" Target="https://foodshed.coop/about/" TargetMode="External"/><Relationship Id="rId117" Type="http://schemas.openxmlformats.org/officeDocument/2006/relationships/hyperlink" Target="https://dillpickle.coop/" TargetMode="External"/><Relationship Id="rId116" Type="http://schemas.openxmlformats.org/officeDocument/2006/relationships/hyperlink" Target="https://cornucopianaturalmarket.com/" TargetMode="External"/><Relationship Id="rId115" Type="http://schemas.openxmlformats.org/officeDocument/2006/relationships/hyperlink" Target="https://www.commonground.coop/" TargetMode="External"/><Relationship Id="rId119" Type="http://schemas.openxmlformats.org/officeDocument/2006/relationships/hyperlink" Target="https://gogreenonracine.com/fresh-market" TargetMode="External"/><Relationship Id="rId15" Type="http://schemas.openxmlformats.org/officeDocument/2006/relationships/hyperlink" Target="http://chicagopatchworkfarms.com" TargetMode="External"/><Relationship Id="rId110" Type="http://schemas.openxmlformats.org/officeDocument/2006/relationships/hyperlink" Target="http://www.instagram.com/urbangrowerscollective/" TargetMode="External"/><Relationship Id="rId14" Type="http://schemas.openxmlformats.org/officeDocument/2006/relationships/hyperlink" Target="http://www.facebook.com/CUFarmersMarkets/" TargetMode="External"/><Relationship Id="rId17" Type="http://schemas.openxmlformats.org/officeDocument/2006/relationships/hyperlink" Target="http://www.facebook.com/chicagopatchworkfarms" TargetMode="External"/><Relationship Id="rId16" Type="http://schemas.openxmlformats.org/officeDocument/2006/relationships/hyperlink" Target="http://www.instagram.com/chicagopatchworkfarms" TargetMode="External"/><Relationship Id="rId19" Type="http://schemas.openxmlformats.org/officeDocument/2006/relationships/hyperlink" Target="http://www.facebook.com/demangefarm" TargetMode="External"/><Relationship Id="rId114" Type="http://schemas.openxmlformats.org/officeDocument/2006/relationships/hyperlink" Target="https://www.cermakfreshmarket.com/" TargetMode="External"/><Relationship Id="rId18" Type="http://schemas.openxmlformats.org/officeDocument/2006/relationships/hyperlink" Target="http://www.facebook.com/DanvilleFM/" TargetMode="External"/><Relationship Id="rId113" Type="http://schemas.openxmlformats.org/officeDocument/2006/relationships/hyperlink" Target="https://www.cermakfreshmarket.com/" TargetMode="External"/><Relationship Id="rId112" Type="http://schemas.openxmlformats.org/officeDocument/2006/relationships/hyperlink" Target="https://www.cermakfreshmarket.com/" TargetMode="External"/><Relationship Id="rId111" Type="http://schemas.openxmlformats.org/officeDocument/2006/relationships/hyperlink" Target="http://www.facebook.com/urbangrowerscollective/" TargetMode="External"/><Relationship Id="rId84" Type="http://schemas.openxmlformats.org/officeDocument/2006/relationships/hyperlink" Target="http://www.facebook.com/RichlandStudentFarms/" TargetMode="External"/><Relationship Id="rId83" Type="http://schemas.openxmlformats.org/officeDocument/2006/relationships/hyperlink" Target="http://www.instagram.com/rcc_farms/" TargetMode="External"/><Relationship Id="rId86" Type="http://schemas.openxmlformats.org/officeDocument/2006/relationships/hyperlink" Target="http://www.instagram.com/solagratiafarm/" TargetMode="External"/><Relationship Id="rId85" Type="http://schemas.openxmlformats.org/officeDocument/2006/relationships/hyperlink" Target="http://www.solagratiacsa.com/" TargetMode="External"/><Relationship Id="rId88" Type="http://schemas.openxmlformats.org/officeDocument/2006/relationships/hyperlink" Target="http://www.terripinfarms.net" TargetMode="External"/><Relationship Id="rId87" Type="http://schemas.openxmlformats.org/officeDocument/2006/relationships/hyperlink" Target="http://www.facebook.com/solagratiafarm/" TargetMode="External"/><Relationship Id="rId89" Type="http://schemas.openxmlformats.org/officeDocument/2006/relationships/hyperlink" Target="http://www.facebook.com/TerripinFarms" TargetMode="External"/><Relationship Id="rId80" Type="http://schemas.openxmlformats.org/officeDocument/2006/relationships/hyperlink" Target="http://www.qcfarmersmarket.online" TargetMode="External"/><Relationship Id="rId82" Type="http://schemas.openxmlformats.org/officeDocument/2006/relationships/hyperlink" Target="http://www.facebook.com/qcfarmersmarket" TargetMode="External"/><Relationship Id="rId81" Type="http://schemas.openxmlformats.org/officeDocument/2006/relationships/hyperlink" Target="http://www.instagram.com/qcfarmersmarket" TargetMode="External"/><Relationship Id="rId1" Type="http://schemas.openxmlformats.org/officeDocument/2006/relationships/hyperlink" Target="http://61market.org/" TargetMode="External"/><Relationship Id="rId2" Type="http://schemas.openxmlformats.org/officeDocument/2006/relationships/hyperlink" Target="http://www.instagram.com/61market" TargetMode="External"/><Relationship Id="rId3" Type="http://schemas.openxmlformats.org/officeDocument/2006/relationships/hyperlink" Target="http://www.facebook.com/61market" TargetMode="External"/><Relationship Id="rId4" Type="http://schemas.openxmlformats.org/officeDocument/2006/relationships/hyperlink" Target="https://www.instagram.com/austinharvestfreshmarket/?hl=en" TargetMode="External"/><Relationship Id="rId9" Type="http://schemas.openxmlformats.org/officeDocument/2006/relationships/hyperlink" Target="http://www.farmersmarketbelleville.com" TargetMode="External"/><Relationship Id="rId5" Type="http://schemas.openxmlformats.org/officeDocument/2006/relationships/hyperlink" Target="https://www.facebook.com/search/top?q=austin%20harvest" TargetMode="External"/><Relationship Id="rId6" Type="http://schemas.openxmlformats.org/officeDocument/2006/relationships/hyperlink" Target="https://downtownbatavia.com/farmers-markets/" TargetMode="External"/><Relationship Id="rId7" Type="http://schemas.openxmlformats.org/officeDocument/2006/relationships/hyperlink" Target="http://www.instagram.com/bataviafarmersmarket/" TargetMode="External"/><Relationship Id="rId8" Type="http://schemas.openxmlformats.org/officeDocument/2006/relationships/hyperlink" Target="http://www.facebook.com/BataviaFarmersMarket" TargetMode="External"/><Relationship Id="rId73" Type="http://schemas.openxmlformats.org/officeDocument/2006/relationships/hyperlink" Target="http://www.instagram.com/peoriagrown/" TargetMode="External"/><Relationship Id="rId72" Type="http://schemas.openxmlformats.org/officeDocument/2006/relationships/hyperlink" Target="http://www.peoriagrown.com/" TargetMode="External"/><Relationship Id="rId75" Type="http://schemas.openxmlformats.org/officeDocument/2006/relationships/hyperlink" Target="http://goshenmarket.org/" TargetMode="External"/><Relationship Id="rId74" Type="http://schemas.openxmlformats.org/officeDocument/2006/relationships/hyperlink" Target="http://www.facebook.com/peoriagrown" TargetMode="External"/><Relationship Id="rId77" Type="http://schemas.openxmlformats.org/officeDocument/2006/relationships/hyperlink" Target="http://www.plantchicago.org" TargetMode="External"/><Relationship Id="rId76" Type="http://schemas.openxmlformats.org/officeDocument/2006/relationships/hyperlink" Target="http://www.facebook.com/goshenmarket/" TargetMode="External"/><Relationship Id="rId79" Type="http://schemas.openxmlformats.org/officeDocument/2006/relationships/hyperlink" Target="http://www.facebook.com/plantchicagonotforprofit" TargetMode="External"/><Relationship Id="rId78" Type="http://schemas.openxmlformats.org/officeDocument/2006/relationships/hyperlink" Target="http://www.instagram.com/plantchicagonfp" TargetMode="External"/><Relationship Id="rId71" Type="http://schemas.openxmlformats.org/officeDocument/2006/relationships/hyperlink" Target="http://www.facebook.com/MacombFarmersMarket" TargetMode="External"/><Relationship Id="rId70" Type="http://schemas.openxmlformats.org/officeDocument/2006/relationships/hyperlink" Target="http://www.instagram.com/macombilfarmersmarket/" TargetMode="External"/><Relationship Id="rId138" Type="http://schemas.openxmlformats.org/officeDocument/2006/relationships/drawing" Target="../drawings/drawing1.xml"/><Relationship Id="rId137" Type="http://schemas.openxmlformats.org/officeDocument/2006/relationships/hyperlink" Target="https://www.tonysfreshmarket.com/" TargetMode="External"/><Relationship Id="rId132" Type="http://schemas.openxmlformats.org/officeDocument/2006/relationships/hyperlink" Target="https://onestopfoods.com/" TargetMode="External"/><Relationship Id="rId131" Type="http://schemas.openxmlformats.org/officeDocument/2006/relationships/hyperlink" Target="https://sites.google.com/view/noshgeneseo/home" TargetMode="External"/><Relationship Id="rId130" Type="http://schemas.openxmlformats.org/officeDocument/2006/relationships/hyperlink" Target="https://www.neighborhood.coop/" TargetMode="External"/><Relationship Id="rId136" Type="http://schemas.openxmlformats.org/officeDocument/2006/relationships/hyperlink" Target="https://www.tonysfreshmarket.com/" TargetMode="External"/><Relationship Id="rId135" Type="http://schemas.openxmlformats.org/officeDocument/2006/relationships/hyperlink" Target="https://www.tonysfreshmarket.com/" TargetMode="External"/><Relationship Id="rId134" Type="http://schemas.openxmlformats.org/officeDocument/2006/relationships/hyperlink" Target="https://www.sugarbeet.coop/" TargetMode="External"/><Relationship Id="rId133" Type="http://schemas.openxmlformats.org/officeDocument/2006/relationships/hyperlink" Target="https://savealot.com/stores/61315?utm_campaign=gmb&amp;utm_medium=organic&amp;utm_source=google" TargetMode="External"/><Relationship Id="rId62" Type="http://schemas.openxmlformats.org/officeDocument/2006/relationships/hyperlink" Target="http://www.facebook.com/lincolnsquarefarmersmarket" TargetMode="External"/><Relationship Id="rId61" Type="http://schemas.openxmlformats.org/officeDocument/2006/relationships/hyperlink" Target="http://www.instagram.com/lincolnsquarefarmersmarket/" TargetMode="External"/><Relationship Id="rId64" Type="http://schemas.openxmlformats.org/officeDocument/2006/relationships/hyperlink" Target="http://www.instagram.com/lsfarmersmarket" TargetMode="External"/><Relationship Id="rId63" Type="http://schemas.openxmlformats.org/officeDocument/2006/relationships/hyperlink" Target="http://www.loganchamber.org" TargetMode="External"/><Relationship Id="rId66" Type="http://schemas.openxmlformats.org/officeDocument/2006/relationships/hyperlink" Target="http://www.theurbancanopy.org/" TargetMode="External"/><Relationship Id="rId65" Type="http://schemas.openxmlformats.org/officeDocument/2006/relationships/hyperlink" Target="http://www.facebook.com/LoganSquareFarmersMarket/about/" TargetMode="External"/><Relationship Id="rId68" Type="http://schemas.openxmlformats.org/officeDocument/2006/relationships/hyperlink" Target="http://www.facebook.com/people/The-Urban-Canopy/61557158537143/" TargetMode="External"/><Relationship Id="rId67" Type="http://schemas.openxmlformats.org/officeDocument/2006/relationships/hyperlink" Target="http://www.instagram.com/theurbancanopy/" TargetMode="External"/><Relationship Id="rId60" Type="http://schemas.openxmlformats.org/officeDocument/2006/relationships/hyperlink" Target="http://www.lincolnsquare.org/farmers-market" TargetMode="External"/><Relationship Id="rId69" Type="http://schemas.openxmlformats.org/officeDocument/2006/relationships/hyperlink" Target="http://www.prairiehillsrcd.org/macomb-farmers-market.html" TargetMode="External"/><Relationship Id="rId51" Type="http://schemas.openxmlformats.org/officeDocument/2006/relationships/hyperlink" Target="http://www.jdlf.org" TargetMode="External"/><Relationship Id="rId50" Type="http://schemas.openxmlformats.org/officeDocument/2006/relationships/hyperlink" Target="http://www.facebook.com/greencitymarket" TargetMode="External"/><Relationship Id="rId53" Type="http://schemas.openxmlformats.org/officeDocument/2006/relationships/hyperlink" Target="http://www.facebook.com/groups/jdlfmarket/" TargetMode="External"/><Relationship Id="rId52" Type="http://schemas.openxmlformats.org/officeDocument/2006/relationships/hyperlink" Target="http://www.instagram.com/jdlocalfoods" TargetMode="External"/><Relationship Id="rId55" Type="http://schemas.openxmlformats.org/officeDocument/2006/relationships/hyperlink" Target="http://www.instagram.com/leaffoodhub/" TargetMode="External"/><Relationship Id="rId54" Type="http://schemas.openxmlformats.org/officeDocument/2006/relationships/hyperlink" Target="http://www.leaffoodhub.com/" TargetMode="External"/><Relationship Id="rId57" Type="http://schemas.openxmlformats.org/officeDocument/2006/relationships/hyperlink" Target="http://www.libertyprairie.org" TargetMode="External"/><Relationship Id="rId56" Type="http://schemas.openxmlformats.org/officeDocument/2006/relationships/hyperlink" Target="http://www.facebook.com/LEAFFoodHub" TargetMode="External"/><Relationship Id="rId59" Type="http://schemas.openxmlformats.org/officeDocument/2006/relationships/hyperlink" Target="http://www.facebook.com/libertyprairieorg/" TargetMode="External"/><Relationship Id="rId58" Type="http://schemas.openxmlformats.org/officeDocument/2006/relationships/hyperlink" Target="http://www.instagram.com/libertyprairi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instagram.com/fortyacresfreshmarket" TargetMode="External"/><Relationship Id="rId42" Type="http://schemas.openxmlformats.org/officeDocument/2006/relationships/hyperlink" Target="http://www.urbangrowerscollective.org/" TargetMode="External"/><Relationship Id="rId41" Type="http://schemas.openxmlformats.org/officeDocument/2006/relationships/hyperlink" Target="http://www.facebook.com/people/Forty-Acres-Fresh-Market/100084716291348/" TargetMode="External"/><Relationship Id="rId44" Type="http://schemas.openxmlformats.org/officeDocument/2006/relationships/hyperlink" Target="http://www.facebook.com/urbangrowerscollective/" TargetMode="External"/><Relationship Id="rId43" Type="http://schemas.openxmlformats.org/officeDocument/2006/relationships/hyperlink" Target="http://www.instagram.com/urbangrowerscollective/" TargetMode="External"/><Relationship Id="rId46" Type="http://schemas.openxmlformats.org/officeDocument/2006/relationships/hyperlink" Target="http://www.instagram.com/greencitymarket" TargetMode="External"/><Relationship Id="rId45" Type="http://schemas.openxmlformats.org/officeDocument/2006/relationships/hyperlink" Target="http://greencitymarket.org" TargetMode="External"/><Relationship Id="rId107" Type="http://schemas.openxmlformats.org/officeDocument/2006/relationships/hyperlink" Target="http://www.instagram.com/woodstockfarmersmkt" TargetMode="External"/><Relationship Id="rId106" Type="http://schemas.openxmlformats.org/officeDocument/2006/relationships/hyperlink" Target="https://woodstockfarmersmarket.org/" TargetMode="External"/><Relationship Id="rId105" Type="http://schemas.openxmlformats.org/officeDocument/2006/relationships/hyperlink" Target="http://www.facebook.com/WarsawMercantile" TargetMode="External"/><Relationship Id="rId104" Type="http://schemas.openxmlformats.org/officeDocument/2006/relationships/hyperlink" Target="http://www.facebook.com/vinestreetmarketofallon" TargetMode="External"/><Relationship Id="rId109" Type="http://schemas.openxmlformats.org/officeDocument/2006/relationships/hyperlink" Target="http://www.urbangrowerscollective.org/" TargetMode="External"/><Relationship Id="rId108" Type="http://schemas.openxmlformats.org/officeDocument/2006/relationships/hyperlink" Target="http://www.facebook.com/woodstockfarmersmarket" TargetMode="External"/><Relationship Id="rId48" Type="http://schemas.openxmlformats.org/officeDocument/2006/relationships/hyperlink" Target="http://greencitymarket.org" TargetMode="External"/><Relationship Id="rId47" Type="http://schemas.openxmlformats.org/officeDocument/2006/relationships/hyperlink" Target="http://www.facebook.com/greencitymarket" TargetMode="External"/><Relationship Id="rId49" Type="http://schemas.openxmlformats.org/officeDocument/2006/relationships/hyperlink" Target="http://www.instagram.com/greencitymarket" TargetMode="External"/><Relationship Id="rId103" Type="http://schemas.openxmlformats.org/officeDocument/2006/relationships/hyperlink" Target="http://www.instagram.com/vinestreetmarketofallon/" TargetMode="External"/><Relationship Id="rId102" Type="http://schemas.openxmlformats.org/officeDocument/2006/relationships/hyperlink" Target="https://ofallonparksandrec.com/vine-street-market/" TargetMode="External"/><Relationship Id="rId101" Type="http://schemas.openxmlformats.org/officeDocument/2006/relationships/hyperlink" Target="http://www.facebook.com/urbangrowerscollective/" TargetMode="External"/><Relationship Id="rId100" Type="http://schemas.openxmlformats.org/officeDocument/2006/relationships/hyperlink" Target="http://www.instagram.com/urbangrowerscollective/" TargetMode="External"/><Relationship Id="rId31" Type="http://schemas.openxmlformats.org/officeDocument/2006/relationships/hyperlink" Target="http://www.instagram.com/findingjusticegarden" TargetMode="External"/><Relationship Id="rId30" Type="http://schemas.openxmlformats.org/officeDocument/2006/relationships/hyperlink" Target="http://www.findingjusticegarden.com" TargetMode="External"/><Relationship Id="rId33" Type="http://schemas.openxmlformats.org/officeDocument/2006/relationships/hyperlink" Target="http://www.findingjusticegarden.com" TargetMode="External"/><Relationship Id="rId32" Type="http://schemas.openxmlformats.org/officeDocument/2006/relationships/hyperlink" Target="http://www.facebook.com/findingjusticegarden" TargetMode="External"/><Relationship Id="rId35" Type="http://schemas.openxmlformats.org/officeDocument/2006/relationships/hyperlink" Target="http://www.facebook.com/findingjusticegarden" TargetMode="External"/><Relationship Id="rId34" Type="http://schemas.openxmlformats.org/officeDocument/2006/relationships/hyperlink" Target="http://www.instagram.com/findingjusticegarden" TargetMode="External"/><Relationship Id="rId37" Type="http://schemas.openxmlformats.org/officeDocument/2006/relationships/hyperlink" Target="http://www.instagram.com/findingjusticegarden" TargetMode="External"/><Relationship Id="rId36" Type="http://schemas.openxmlformats.org/officeDocument/2006/relationships/hyperlink" Target="http://www.findingjusticegarden.com" TargetMode="External"/><Relationship Id="rId39" Type="http://schemas.openxmlformats.org/officeDocument/2006/relationships/hyperlink" Target="http://fortyacresfreshmarket.com/delivery" TargetMode="External"/><Relationship Id="rId38" Type="http://schemas.openxmlformats.org/officeDocument/2006/relationships/hyperlink" Target="http://www.facebook.com/findingjusticegarden" TargetMode="External"/><Relationship Id="rId20" Type="http://schemas.openxmlformats.org/officeDocument/2006/relationships/hyperlink" Target="http://www.downtownbloomington.org/farmers-market" TargetMode="External"/><Relationship Id="rId22" Type="http://schemas.openxmlformats.org/officeDocument/2006/relationships/hyperlink" Target="http://www.facebook.com/BLMFarmersMarket" TargetMode="External"/><Relationship Id="rId21" Type="http://schemas.openxmlformats.org/officeDocument/2006/relationships/hyperlink" Target="http://www.instagram.com/bloomingtonmarket/" TargetMode="External"/><Relationship Id="rId24" Type="http://schemas.openxmlformats.org/officeDocument/2006/relationships/hyperlink" Target="http://www.instagram.com/evanston_farmers_market/" TargetMode="External"/><Relationship Id="rId23" Type="http://schemas.openxmlformats.org/officeDocument/2006/relationships/hyperlink" Target="https://www.cityofevanston.org/government/departments/parks-recreation-community-services/programs-events/farmers-market-indoor" TargetMode="External"/><Relationship Id="rId26" Type="http://schemas.openxmlformats.org/officeDocument/2006/relationships/hyperlink" Target="http://www.instagram.com/windycityharvest/" TargetMode="External"/><Relationship Id="rId25" Type="http://schemas.openxmlformats.org/officeDocument/2006/relationships/hyperlink" Target="http://www.chicagobotanic.org/urbanagriculture/farm_on_ogden" TargetMode="External"/><Relationship Id="rId28" Type="http://schemas.openxmlformats.org/officeDocument/2006/relationships/hyperlink" Target="http://www.farmersmarketcarbondale.com/" TargetMode="External"/><Relationship Id="rId27" Type="http://schemas.openxmlformats.org/officeDocument/2006/relationships/hyperlink" Target="http://www.facebook.com/windycityharvest/" TargetMode="External"/><Relationship Id="rId29" Type="http://schemas.openxmlformats.org/officeDocument/2006/relationships/hyperlink" Target="http://www.facebook.com/farmersmarketcarbondale/" TargetMode="External"/><Relationship Id="rId95" Type="http://schemas.openxmlformats.org/officeDocument/2006/relationships/hyperlink" Target="http://www.facebook.com/TopBoxFoods/" TargetMode="External"/><Relationship Id="rId94" Type="http://schemas.openxmlformats.org/officeDocument/2006/relationships/hyperlink" Target="http://www.instagram.com/topboxfoods" TargetMode="External"/><Relationship Id="rId97" Type="http://schemas.openxmlformats.org/officeDocument/2006/relationships/hyperlink" Target="http://www.instagram.com/twincitymarket/" TargetMode="External"/><Relationship Id="rId96" Type="http://schemas.openxmlformats.org/officeDocument/2006/relationships/hyperlink" Target="https://twincityfarmersmarket.com/" TargetMode="External"/><Relationship Id="rId11" Type="http://schemas.openxmlformats.org/officeDocument/2006/relationships/hyperlink" Target="http://www.facebook.com/farmersmarketnorthillinois/" TargetMode="External"/><Relationship Id="rId99" Type="http://schemas.openxmlformats.org/officeDocument/2006/relationships/hyperlink" Target="http://www.urbangrowerscollective.org/chicago-local-csa" TargetMode="External"/><Relationship Id="rId10" Type="http://schemas.openxmlformats.org/officeDocument/2006/relationships/hyperlink" Target="http://www.instagram.com/farmersmarketbelleville" TargetMode="External"/><Relationship Id="rId98" Type="http://schemas.openxmlformats.org/officeDocument/2006/relationships/hyperlink" Target="http://www.facebook.com/twincityfarmersmarket" TargetMode="External"/><Relationship Id="rId13" Type="http://schemas.openxmlformats.org/officeDocument/2006/relationships/hyperlink" Target="http://www.instagram.com/cufarmersmarkets/" TargetMode="External"/><Relationship Id="rId12" Type="http://schemas.openxmlformats.org/officeDocument/2006/relationships/hyperlink" Target="http://www.thelandconnection.org/champaign-farmers-market/" TargetMode="External"/><Relationship Id="rId91" Type="http://schemas.openxmlformats.org/officeDocument/2006/relationships/hyperlink" Target="http://www.instagram.com/TheodoraFarms" TargetMode="External"/><Relationship Id="rId90" Type="http://schemas.openxmlformats.org/officeDocument/2006/relationships/hyperlink" Target="http://www.theodorafarms.com" TargetMode="External"/><Relationship Id="rId93" Type="http://schemas.openxmlformats.org/officeDocument/2006/relationships/hyperlink" Target="http://www.topboxfoods.com" TargetMode="External"/><Relationship Id="rId92" Type="http://schemas.openxmlformats.org/officeDocument/2006/relationships/hyperlink" Target="http://www.facebook.com/theodorafarms" TargetMode="External"/><Relationship Id="rId15" Type="http://schemas.openxmlformats.org/officeDocument/2006/relationships/hyperlink" Target="http://chicagopatchworkfarms.com" TargetMode="External"/><Relationship Id="rId110" Type="http://schemas.openxmlformats.org/officeDocument/2006/relationships/hyperlink" Target="http://www.instagram.com/urbangrowerscollective/" TargetMode="External"/><Relationship Id="rId14" Type="http://schemas.openxmlformats.org/officeDocument/2006/relationships/hyperlink" Target="http://www.facebook.com/CUFarmersMarkets/" TargetMode="External"/><Relationship Id="rId17" Type="http://schemas.openxmlformats.org/officeDocument/2006/relationships/hyperlink" Target="http://www.facebook.com/chicagopatchworkfarms" TargetMode="External"/><Relationship Id="rId16" Type="http://schemas.openxmlformats.org/officeDocument/2006/relationships/hyperlink" Target="http://www.instagram.com/chicagopatchworkfarms" TargetMode="External"/><Relationship Id="rId19" Type="http://schemas.openxmlformats.org/officeDocument/2006/relationships/hyperlink" Target="http://www.facebook.com/demangefarm" TargetMode="External"/><Relationship Id="rId18" Type="http://schemas.openxmlformats.org/officeDocument/2006/relationships/hyperlink" Target="http://www.facebook.com/DanvilleFM/" TargetMode="External"/><Relationship Id="rId112" Type="http://schemas.openxmlformats.org/officeDocument/2006/relationships/drawing" Target="../drawings/drawing2.xml"/><Relationship Id="rId111" Type="http://schemas.openxmlformats.org/officeDocument/2006/relationships/hyperlink" Target="http://www.facebook.com/urbangrowerscollective/" TargetMode="External"/><Relationship Id="rId84" Type="http://schemas.openxmlformats.org/officeDocument/2006/relationships/hyperlink" Target="http://www.facebook.com/RichlandStudentFarms/" TargetMode="External"/><Relationship Id="rId83" Type="http://schemas.openxmlformats.org/officeDocument/2006/relationships/hyperlink" Target="http://www.instagram.com/rcc_farms/" TargetMode="External"/><Relationship Id="rId86" Type="http://schemas.openxmlformats.org/officeDocument/2006/relationships/hyperlink" Target="http://www.instagram.com/solagratiafarm/" TargetMode="External"/><Relationship Id="rId85" Type="http://schemas.openxmlformats.org/officeDocument/2006/relationships/hyperlink" Target="http://www.solagratiacsa.com/" TargetMode="External"/><Relationship Id="rId88" Type="http://schemas.openxmlformats.org/officeDocument/2006/relationships/hyperlink" Target="http://www.terripinfarms.net" TargetMode="External"/><Relationship Id="rId87" Type="http://schemas.openxmlformats.org/officeDocument/2006/relationships/hyperlink" Target="http://www.facebook.com/solagratiafarm/" TargetMode="External"/><Relationship Id="rId89" Type="http://schemas.openxmlformats.org/officeDocument/2006/relationships/hyperlink" Target="http://www.facebook.com/TerripinFarms" TargetMode="External"/><Relationship Id="rId80" Type="http://schemas.openxmlformats.org/officeDocument/2006/relationships/hyperlink" Target="http://www.qcfarmersmarket.online" TargetMode="External"/><Relationship Id="rId82" Type="http://schemas.openxmlformats.org/officeDocument/2006/relationships/hyperlink" Target="http://www.facebook.com/qcfarmersmarket" TargetMode="External"/><Relationship Id="rId81" Type="http://schemas.openxmlformats.org/officeDocument/2006/relationships/hyperlink" Target="http://www.instagram.com/qcfarmersmarket" TargetMode="External"/><Relationship Id="rId1" Type="http://schemas.openxmlformats.org/officeDocument/2006/relationships/hyperlink" Target="http://61market.org/" TargetMode="External"/><Relationship Id="rId2" Type="http://schemas.openxmlformats.org/officeDocument/2006/relationships/hyperlink" Target="http://www.instagram.com/61market" TargetMode="External"/><Relationship Id="rId3" Type="http://schemas.openxmlformats.org/officeDocument/2006/relationships/hyperlink" Target="http://www.facebook.com/61market" TargetMode="External"/><Relationship Id="rId4" Type="http://schemas.openxmlformats.org/officeDocument/2006/relationships/hyperlink" Target="https://www.instagram.com/austinharvestfreshmarket/?hl=en" TargetMode="External"/><Relationship Id="rId9" Type="http://schemas.openxmlformats.org/officeDocument/2006/relationships/hyperlink" Target="http://www.farmersmarketbelleville.com" TargetMode="External"/><Relationship Id="rId5" Type="http://schemas.openxmlformats.org/officeDocument/2006/relationships/hyperlink" Target="https://www.facebook.com/search/top?q=austin%20harvest" TargetMode="External"/><Relationship Id="rId6" Type="http://schemas.openxmlformats.org/officeDocument/2006/relationships/hyperlink" Target="https://downtownbatavia.com/farmers-markets/" TargetMode="External"/><Relationship Id="rId7" Type="http://schemas.openxmlformats.org/officeDocument/2006/relationships/hyperlink" Target="http://www.instagram.com/bataviafarmersmarket/" TargetMode="External"/><Relationship Id="rId8" Type="http://schemas.openxmlformats.org/officeDocument/2006/relationships/hyperlink" Target="http://www.facebook.com/BataviaFarmersMarket" TargetMode="External"/><Relationship Id="rId73" Type="http://schemas.openxmlformats.org/officeDocument/2006/relationships/hyperlink" Target="http://www.instagram.com/peoriagrown/" TargetMode="External"/><Relationship Id="rId72" Type="http://schemas.openxmlformats.org/officeDocument/2006/relationships/hyperlink" Target="http://www.peoriagrown.com/" TargetMode="External"/><Relationship Id="rId75" Type="http://schemas.openxmlformats.org/officeDocument/2006/relationships/hyperlink" Target="http://goshenmarket.org/" TargetMode="External"/><Relationship Id="rId74" Type="http://schemas.openxmlformats.org/officeDocument/2006/relationships/hyperlink" Target="http://www.facebook.com/peoriagrown" TargetMode="External"/><Relationship Id="rId77" Type="http://schemas.openxmlformats.org/officeDocument/2006/relationships/hyperlink" Target="http://www.plantchicago.org" TargetMode="External"/><Relationship Id="rId76" Type="http://schemas.openxmlformats.org/officeDocument/2006/relationships/hyperlink" Target="http://www.facebook.com/goshenmarket/" TargetMode="External"/><Relationship Id="rId79" Type="http://schemas.openxmlformats.org/officeDocument/2006/relationships/hyperlink" Target="http://www.facebook.com/plantchicagonotforprofit" TargetMode="External"/><Relationship Id="rId78" Type="http://schemas.openxmlformats.org/officeDocument/2006/relationships/hyperlink" Target="http://www.instagram.com/plantchicagonfp" TargetMode="External"/><Relationship Id="rId71" Type="http://schemas.openxmlformats.org/officeDocument/2006/relationships/hyperlink" Target="http://www.facebook.com/MacombFarmersMarket" TargetMode="External"/><Relationship Id="rId70" Type="http://schemas.openxmlformats.org/officeDocument/2006/relationships/hyperlink" Target="http://www.instagram.com/macombilfarmersmarket/" TargetMode="External"/><Relationship Id="rId62" Type="http://schemas.openxmlformats.org/officeDocument/2006/relationships/hyperlink" Target="http://www.facebook.com/lincolnsquarefarmersmarket" TargetMode="External"/><Relationship Id="rId61" Type="http://schemas.openxmlformats.org/officeDocument/2006/relationships/hyperlink" Target="http://www.instagram.com/lincolnsquarefarmersmarket/" TargetMode="External"/><Relationship Id="rId64" Type="http://schemas.openxmlformats.org/officeDocument/2006/relationships/hyperlink" Target="http://www.instagram.com/lsfarmersmarket" TargetMode="External"/><Relationship Id="rId63" Type="http://schemas.openxmlformats.org/officeDocument/2006/relationships/hyperlink" Target="http://www.loganchamber.org" TargetMode="External"/><Relationship Id="rId66" Type="http://schemas.openxmlformats.org/officeDocument/2006/relationships/hyperlink" Target="http://www.theurbancanopy.org/" TargetMode="External"/><Relationship Id="rId65" Type="http://schemas.openxmlformats.org/officeDocument/2006/relationships/hyperlink" Target="http://www.facebook.com/LoganSquareFarmersMarket/about/" TargetMode="External"/><Relationship Id="rId68" Type="http://schemas.openxmlformats.org/officeDocument/2006/relationships/hyperlink" Target="http://www.facebook.com/people/The-Urban-Canopy/61557158537143/" TargetMode="External"/><Relationship Id="rId67" Type="http://schemas.openxmlformats.org/officeDocument/2006/relationships/hyperlink" Target="http://www.instagram.com/theurbancanopy/" TargetMode="External"/><Relationship Id="rId60" Type="http://schemas.openxmlformats.org/officeDocument/2006/relationships/hyperlink" Target="http://www.lincolnsquare.org/farmers-market" TargetMode="External"/><Relationship Id="rId69" Type="http://schemas.openxmlformats.org/officeDocument/2006/relationships/hyperlink" Target="http://www.prairiehillsrcd.org/macomb-farmers-market.html" TargetMode="External"/><Relationship Id="rId51" Type="http://schemas.openxmlformats.org/officeDocument/2006/relationships/hyperlink" Target="http://www.jdlf.org" TargetMode="External"/><Relationship Id="rId50" Type="http://schemas.openxmlformats.org/officeDocument/2006/relationships/hyperlink" Target="http://www.facebook.com/greencitymarket" TargetMode="External"/><Relationship Id="rId53" Type="http://schemas.openxmlformats.org/officeDocument/2006/relationships/hyperlink" Target="http://www.facebook.com/groups/jdlfmarket/" TargetMode="External"/><Relationship Id="rId52" Type="http://schemas.openxmlformats.org/officeDocument/2006/relationships/hyperlink" Target="http://www.instagram.com/jdlocalfoods" TargetMode="External"/><Relationship Id="rId55" Type="http://schemas.openxmlformats.org/officeDocument/2006/relationships/hyperlink" Target="http://www.instagram.com/leaffoodhub/" TargetMode="External"/><Relationship Id="rId54" Type="http://schemas.openxmlformats.org/officeDocument/2006/relationships/hyperlink" Target="http://www.leaffoodhub.com/" TargetMode="External"/><Relationship Id="rId57" Type="http://schemas.openxmlformats.org/officeDocument/2006/relationships/hyperlink" Target="http://www.libertyprairie.org" TargetMode="External"/><Relationship Id="rId56" Type="http://schemas.openxmlformats.org/officeDocument/2006/relationships/hyperlink" Target="http://www.facebook.com/LEAFFoodHub" TargetMode="External"/><Relationship Id="rId59" Type="http://schemas.openxmlformats.org/officeDocument/2006/relationships/hyperlink" Target="http://www.facebook.com/libertyprairieorg/" TargetMode="External"/><Relationship Id="rId58" Type="http://schemas.openxmlformats.org/officeDocument/2006/relationships/hyperlink" Target="http://www.instagram.com/libertyprairie"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sugarbeet.coop/" TargetMode="External"/><Relationship Id="rId22" Type="http://schemas.openxmlformats.org/officeDocument/2006/relationships/hyperlink" Target="https://www.tonysfreshmarket.com/" TargetMode="External"/><Relationship Id="rId21" Type="http://schemas.openxmlformats.org/officeDocument/2006/relationships/hyperlink" Target="https://www.tonysfreshmarket.com/" TargetMode="External"/><Relationship Id="rId24" Type="http://schemas.openxmlformats.org/officeDocument/2006/relationships/hyperlink" Target="https://sites.google.com/view/noshgeneseo/home" TargetMode="External"/><Relationship Id="rId23" Type="http://schemas.openxmlformats.org/officeDocument/2006/relationships/hyperlink" Target="https://www.tonysfreshmarket.com/" TargetMode="External"/><Relationship Id="rId26" Type="http://schemas.openxmlformats.org/officeDocument/2006/relationships/hyperlink" Target="https://www.livingfreshmarket.com/" TargetMode="External"/><Relationship Id="rId25" Type="http://schemas.openxmlformats.org/officeDocument/2006/relationships/hyperlink" Target="https://cornucopianaturalmarket.com/" TargetMode="External"/><Relationship Id="rId27" Type="http://schemas.openxmlformats.org/officeDocument/2006/relationships/drawing" Target="../drawings/drawing3.xml"/><Relationship Id="rId11" Type="http://schemas.openxmlformats.org/officeDocument/2006/relationships/hyperlink" Target="https://www.jewelosco.com/" TargetMode="External"/><Relationship Id="rId10" Type="http://schemas.openxmlformats.org/officeDocument/2006/relationships/hyperlink" Target="https://www.jewelosco.com/" TargetMode="External"/><Relationship Id="rId13" Type="http://schemas.openxmlformats.org/officeDocument/2006/relationships/hyperlink" Target="https://www.jewelosco.com/" TargetMode="External"/><Relationship Id="rId12" Type="http://schemas.openxmlformats.org/officeDocument/2006/relationships/hyperlink" Target="https://www.jewelosco.com/" TargetMode="External"/><Relationship Id="rId15" Type="http://schemas.openxmlformats.org/officeDocument/2006/relationships/hyperlink" Target="https://www.jewelosco.com/" TargetMode="External"/><Relationship Id="rId14" Type="http://schemas.openxmlformats.org/officeDocument/2006/relationships/hyperlink" Target="https://www.jewelosco.com/" TargetMode="External"/><Relationship Id="rId17" Type="http://schemas.openxmlformats.org/officeDocument/2006/relationships/hyperlink" Target="https://www.neighborhood.coop/" TargetMode="External"/><Relationship Id="rId16" Type="http://schemas.openxmlformats.org/officeDocument/2006/relationships/hyperlink" Target="https://www.facebook.com/MiMexicoGroceryStore/" TargetMode="External"/><Relationship Id="rId19" Type="http://schemas.openxmlformats.org/officeDocument/2006/relationships/hyperlink" Target="https://savealot.com/stores/61315?utm_campaign=gmb&amp;utm_medium=organic&amp;utm_source=google" TargetMode="External"/><Relationship Id="rId18" Type="http://schemas.openxmlformats.org/officeDocument/2006/relationships/hyperlink" Target="https://onestopfoods.com/" TargetMode="External"/><Relationship Id="rId1" Type="http://schemas.openxmlformats.org/officeDocument/2006/relationships/hyperlink" Target="https://www.cermakfreshmarket.com/" TargetMode="External"/><Relationship Id="rId2" Type="http://schemas.openxmlformats.org/officeDocument/2006/relationships/hyperlink" Target="https://www.cermakfreshmarket.com/" TargetMode="External"/><Relationship Id="rId3" Type="http://schemas.openxmlformats.org/officeDocument/2006/relationships/hyperlink" Target="https://www.cermakfreshmarket.com/" TargetMode="External"/><Relationship Id="rId4" Type="http://schemas.openxmlformats.org/officeDocument/2006/relationships/hyperlink" Target="https://www.commonground.coop/" TargetMode="External"/><Relationship Id="rId9" Type="http://schemas.openxmlformats.org/officeDocument/2006/relationships/hyperlink" Target="https://www.jewelosco.com/" TargetMode="External"/><Relationship Id="rId5" Type="http://schemas.openxmlformats.org/officeDocument/2006/relationships/hyperlink" Target="https://dillpickle.coop/" TargetMode="External"/><Relationship Id="rId6" Type="http://schemas.openxmlformats.org/officeDocument/2006/relationships/hyperlink" Target="https://foodshed.coop/about/" TargetMode="External"/><Relationship Id="rId7" Type="http://schemas.openxmlformats.org/officeDocument/2006/relationships/hyperlink" Target="https://gogreenonracine.com/fresh-market" TargetMode="External"/><Relationship Id="rId8" Type="http://schemas.openxmlformats.org/officeDocument/2006/relationships/hyperlink" Target="https://greentopgrocery.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1YAxvVbRUok4gdwJIwwRQmPPrD9ZG2FZlhiwJXM9_Nc/edit?gid=0" TargetMode="External"/><Relationship Id="rId2" Type="http://schemas.openxmlformats.org/officeDocument/2006/relationships/hyperlink" Target="https://docs.google.com/spreadsheets/d/1ybwXqfx87Or2XfZ3Lv_PlC0tsAupNcVKN-_3kEJ2xh8/edit?gid=0"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1"/>
      <c r="U1" s="1"/>
      <c r="V1" s="1"/>
      <c r="W1" s="1"/>
      <c r="X1" s="1"/>
      <c r="Y1" s="1"/>
      <c r="Z1" s="1"/>
      <c r="AA1" s="1"/>
      <c r="AB1" s="1"/>
      <c r="AC1" s="1"/>
      <c r="AD1" s="1"/>
      <c r="AE1" s="1"/>
      <c r="AF1" s="1"/>
      <c r="AG1" s="1"/>
      <c r="AH1" s="1"/>
      <c r="AI1" s="1"/>
      <c r="AJ1" s="1"/>
      <c r="AK1" s="1"/>
    </row>
    <row r="2">
      <c r="A2" s="3" t="str">
        <f>IFERROR(__xludf.DUMMYFUNCTION("{query('FD Partners'!2:1025,""Select A,B,D,E,F,G,H,I,J,K,L,M,N,O,P,Q,R,S where C = TRUE order by A"",1);
query('BM Partners'!2:1025,""Select A,B,D,E,F,G,H,I,J,K,L,M,N,O,P,Q,R,S where C = TRUE order by A"",1)}"),"61st Street Farmers Market")</f>
        <v>61st Street Farmers Market</v>
      </c>
      <c r="B2" s="3" t="str">
        <f>IFERROR(__xludf.DUMMYFUNCTION("""COMPUTED_VALUE"""),"Farmers Market")</f>
        <v>Farmers Market</v>
      </c>
      <c r="C2" s="3" t="str">
        <f>IFERROR(__xludf.DUMMYFUNCTION("""COMPUTED_VALUE"""),"41.78419797229684, -87.59057787685639")</f>
        <v>41.78419797229684, -87.59057787685639</v>
      </c>
      <c r="D2" s="3" t="str">
        <f>IFERROR(__xludf.DUMMYFUNCTION("""COMPUTED_VALUE"""),"6100 S Blackstone Ave")</f>
        <v>6100 S Blackstone Ave</v>
      </c>
      <c r="E2" s="3" t="str">
        <f>IFERROR(__xludf.DUMMYFUNCTION("""COMPUTED_VALUE"""),"")</f>
        <v/>
      </c>
      <c r="F2" s="3" t="str">
        <f>IFERROR(__xludf.DUMMYFUNCTION("""COMPUTED_VALUE"""),"Chicago")</f>
        <v>Chicago</v>
      </c>
      <c r="G2" s="3" t="str">
        <f>IFERROR(__xludf.DUMMYFUNCTION("""COMPUTED_VALUE"""),"IL")</f>
        <v>IL</v>
      </c>
      <c r="H2" s="4" t="str">
        <f>IFERROR(__xludf.DUMMYFUNCTION("""COMPUTED_VALUE"""),"60637")</f>
        <v>60637</v>
      </c>
      <c r="I2" s="5" t="str">
        <f>IFERROR(__xludf.DUMMYFUNCTION("""COMPUTED_VALUE"""),"11/1/2025")</f>
        <v>11/1/2025</v>
      </c>
      <c r="J2" s="5" t="str">
        <f>IFERROR(__xludf.DUMMYFUNCTION("""COMPUTED_VALUE"""),"4/11/2026")</f>
        <v>4/11/2026</v>
      </c>
      <c r="K2" s="3" t="str">
        <f>IFERROR(__xludf.DUMMYFUNCTION("""COMPUTED_VALUE"""),"Saturday")</f>
        <v>Saturday</v>
      </c>
      <c r="L2" s="3" t="str">
        <f>IFERROR(__xludf.DUMMYFUNCTION("""COMPUTED_VALUE"""),"09:00 AM - 02:00 PM")</f>
        <v>09:00 AM - 02:00 PM</v>
      </c>
      <c r="M2" s="3" t="str">
        <f>IFERROR(__xludf.DUMMYFUNCTION("""COMPUTED_VALUE"""),"Other")</f>
        <v>Other</v>
      </c>
      <c r="N2" s="6" t="str">
        <f>IFERROR(__xludf.DUMMYFUNCTION("""COMPUTED_VALUE"""),"http://61market.org/")</f>
        <v>http://61market.org/</v>
      </c>
      <c r="O2" s="6" t="str">
        <f>IFERROR(__xludf.DUMMYFUNCTION("""COMPUTED_VALUE"""),"http://www.instagram.com/61market")</f>
        <v>http://www.instagram.com/61market</v>
      </c>
      <c r="P2" s="6" t="str">
        <f>IFERROR(__xludf.DUMMYFUNCTION("""COMPUTED_VALUE"""),"http://www.facebook.com/61market")</f>
        <v>http://www.facebook.com/61market</v>
      </c>
      <c r="Q2" s="3" t="str">
        <f>IFERROR(__xludf.DUMMYFUNCTION("""COMPUTED_VALUE"""),"Chicago")</f>
        <v>Chicago</v>
      </c>
      <c r="R2" s="3" t="str">
        <f>IFERROR(__xludf.DUMMYFUNCTION("""COMPUTED_VALUE"""),"Nov 1, 6, 15, 22 | Dec 6, 13, 20 | Jan 10 | Feb 14 | Mar 14 | Apr 11")</f>
        <v>Nov 1, 6, 15, 22 | Dec 6, 13, 20 | Jan 10 | Feb 14 | Mar 14 | Apr 11</v>
      </c>
    </row>
    <row r="3">
      <c r="A3" s="3" t="str">
        <f>IFERROR(__xludf.DUMMYFUNCTION("""COMPUTED_VALUE"""),"Austin Harvest")</f>
        <v>Austin Harvest</v>
      </c>
      <c r="B3" s="3" t="str">
        <f>IFERROR(__xludf.DUMMYFUNCTION("""COMPUTED_VALUE"""),"Retail Space")</f>
        <v>Retail Space</v>
      </c>
      <c r="C3" s="3" t="str">
        <f>IFERROR(__xludf.DUMMYFUNCTION("""COMPUTED_VALUE"""),"41.8887111986278, -87.75517293668456")</f>
        <v>41.8887111986278, -87.75517293668456</v>
      </c>
      <c r="D3" s="3" t="str">
        <f>IFERROR(__xludf.DUMMYFUNCTION("""COMPUTED_VALUE"""),"415 N Laramie Ave")</f>
        <v>415 N Laramie Ave</v>
      </c>
      <c r="E3" s="3"/>
      <c r="F3" s="3" t="str">
        <f>IFERROR(__xludf.DUMMYFUNCTION("""COMPUTED_VALUE"""),"Chicago")</f>
        <v>Chicago</v>
      </c>
      <c r="G3" s="3" t="str">
        <f>IFERROR(__xludf.DUMMYFUNCTION("""COMPUTED_VALUE"""),"IL")</f>
        <v>IL</v>
      </c>
      <c r="H3" s="4">
        <f>IFERROR(__xludf.DUMMYFUNCTION("""COMPUTED_VALUE"""),60644.0)</f>
        <v>60644</v>
      </c>
      <c r="I3" s="5">
        <f>IFERROR(__xludf.DUMMYFUNCTION("""COMPUTED_VALUE"""),45658.0)</f>
        <v>45658</v>
      </c>
      <c r="J3" s="7">
        <f>IFERROR(__xludf.DUMMYFUNCTION("""COMPUTED_VALUE"""),46022.0)</f>
        <v>46022</v>
      </c>
      <c r="K3" s="3" t="str">
        <f>IFERROR(__xludf.DUMMYFUNCTION("""COMPUTED_VALUE"""),"Tuesday, Wednesday, Thursday")</f>
        <v>Tuesday, Wednesday, Thursday</v>
      </c>
      <c r="L3" s="3" t="str">
        <f>IFERROR(__xludf.DUMMYFUNCTION("""COMPUTED_VALUE"""),"12:00 PM - 06:00 PM 12:00 PM - 06:00 PM 12:00 PM - 06:00 PM")</f>
        <v>12:00 PM - 06:00 PM 12:00 PM - 06:00 PM 12:00 PM - 06:00 PM</v>
      </c>
      <c r="M3" s="3" t="str">
        <f>IFERROR(__xludf.DUMMYFUNCTION("""COMPUTED_VALUE"""),"Weekly")</f>
        <v>Weekly</v>
      </c>
      <c r="N3" s="3"/>
      <c r="O3" s="6" t="str">
        <f>IFERROR(__xludf.DUMMYFUNCTION("""COMPUTED_VALUE"""),"https://www.instagram.com/austinharvestfreshmarket/?hl=en")</f>
        <v>https://www.instagram.com/austinharvestfreshmarket/?hl=en</v>
      </c>
      <c r="P3" s="6" t="str">
        <f>IFERROR(__xludf.DUMMYFUNCTION("""COMPUTED_VALUE"""),"https://www.facebook.com/search/top?q=austin%20harvest")</f>
        <v>https://www.facebook.com/search/top?q=austin%20harvest</v>
      </c>
      <c r="Q3" s="3" t="str">
        <f>IFERROR(__xludf.DUMMYFUNCTION("""COMPUTED_VALUE"""),"Chicago")</f>
        <v>Chicago</v>
      </c>
      <c r="R3" s="3"/>
    </row>
    <row r="4">
      <c r="A4" s="3" t="str">
        <f>IFERROR(__xludf.DUMMYFUNCTION("""COMPUTED_VALUE"""),"Batavia Indoor Market")</f>
        <v>Batavia Indoor Market</v>
      </c>
      <c r="B4" s="3" t="str">
        <f>IFERROR(__xludf.DUMMYFUNCTION("""COMPUTED_VALUE"""),"Winter Market")</f>
        <v>Winter Market</v>
      </c>
      <c r="C4" s="3" t="str">
        <f>IFERROR(__xludf.DUMMYFUNCTION("""COMPUTED_VALUE"""),"41.847483464218634, -88.30923973480688")</f>
        <v>41.847483464218634, -88.30923973480688</v>
      </c>
      <c r="D4" s="3" t="str">
        <f>IFERROR(__xludf.DUMMYFUNCTION("""COMPUTED_VALUE"""),"131 Flinn St")</f>
        <v>131 Flinn St</v>
      </c>
      <c r="E4" s="3" t="str">
        <f>IFERROR(__xludf.DUMMYFUNCTION("""COMPUTED_VALUE"""),"Suite C")</f>
        <v>Suite C</v>
      </c>
      <c r="F4" s="3" t="str">
        <f>IFERROR(__xludf.DUMMYFUNCTION("""COMPUTED_VALUE"""),"Batavia")</f>
        <v>Batavia</v>
      </c>
      <c r="G4" s="3" t="str">
        <f>IFERROR(__xludf.DUMMYFUNCTION("""COMPUTED_VALUE"""),"IL")</f>
        <v>IL</v>
      </c>
      <c r="H4" s="4">
        <f>IFERROR(__xludf.DUMMYFUNCTION("""COMPUTED_VALUE"""),60510.0)</f>
        <v>60510</v>
      </c>
      <c r="I4" s="5">
        <f>IFERROR(__xludf.DUMMYFUNCTION("""COMPUTED_VALUE"""),45962.0)</f>
        <v>45962</v>
      </c>
      <c r="J4" s="7">
        <f>IFERROR(__xludf.DUMMYFUNCTION("""COMPUTED_VALUE"""),46151.0)</f>
        <v>46151</v>
      </c>
      <c r="K4" s="3" t="str">
        <f>IFERROR(__xludf.DUMMYFUNCTION("""COMPUTED_VALUE"""),"Saturday")</f>
        <v>Saturday</v>
      </c>
      <c r="L4" s="3" t="str">
        <f>IFERROR(__xludf.DUMMYFUNCTION("""COMPUTED_VALUE"""),"09:00 AM - 12:00 PM")</f>
        <v>09:00 AM - 12:00 PM</v>
      </c>
      <c r="M4" s="3" t="str">
        <f>IFERROR(__xludf.DUMMYFUNCTION("""COMPUTED_VALUE"""),"Weekly")</f>
        <v>Weekly</v>
      </c>
      <c r="N4" s="6" t="str">
        <f>IFERROR(__xludf.DUMMYFUNCTION("""COMPUTED_VALUE"""),"https://downtownbatavia.com/farmers-markets/")</f>
        <v>https://downtownbatavia.com/farmers-markets/</v>
      </c>
      <c r="O4" s="6" t="str">
        <f>IFERROR(__xludf.DUMMYFUNCTION("""COMPUTED_VALUE"""),"http://www.instagram.com/bataviafarmersmarket/")</f>
        <v>http://www.instagram.com/bataviafarmersmarket/</v>
      </c>
      <c r="P4" s="6" t="str">
        <f>IFERROR(__xludf.DUMMYFUNCTION("""COMPUTED_VALUE"""),"http://www.facebook.com/BataviaFarmersMarket")</f>
        <v>http://www.facebook.com/BataviaFarmersMarket</v>
      </c>
      <c r="Q4" s="3" t="str">
        <f>IFERROR(__xludf.DUMMYFUNCTION("""COMPUTED_VALUE"""),"Chicago Suburbs")</f>
        <v>Chicago Suburbs</v>
      </c>
      <c r="R4" s="3"/>
    </row>
    <row r="5">
      <c r="A5" s="3" t="str">
        <f>IFERROR(__xludf.DUMMYFUNCTION("""COMPUTED_VALUE"""),"Belleville Farmer's Market (N Belt West)")</f>
        <v>Belleville Farmer's Market (N Belt West)</v>
      </c>
      <c r="B5" s="3" t="str">
        <f>IFERROR(__xludf.DUMMYFUNCTION("""COMPUTED_VALUE"""),"Retail Space")</f>
        <v>Retail Space</v>
      </c>
      <c r="C5" s="3" t="str">
        <f>IFERROR(__xludf.DUMMYFUNCTION("""COMPUTED_VALUE"""),"38.54208631174143, -90.00550764469757")</f>
        <v>38.54208631174143, -90.00550764469757</v>
      </c>
      <c r="D5" s="3" t="str">
        <f>IFERROR(__xludf.DUMMYFUNCTION("""COMPUTED_VALUE"""),"1901 N Belt West")</f>
        <v>1901 N Belt West</v>
      </c>
      <c r="E5" s="3"/>
      <c r="F5" s="3" t="str">
        <f>IFERROR(__xludf.DUMMYFUNCTION("""COMPUTED_VALUE"""),"Belleville")</f>
        <v>Belleville</v>
      </c>
      <c r="G5" s="3" t="str">
        <f>IFERROR(__xludf.DUMMYFUNCTION("""COMPUTED_VALUE"""),"IL")</f>
        <v>IL</v>
      </c>
      <c r="H5" s="4">
        <f>IFERROR(__xludf.DUMMYFUNCTION("""COMPUTED_VALUE"""),62226.0)</f>
        <v>62226</v>
      </c>
      <c r="I5" s="5">
        <f>IFERROR(__xludf.DUMMYFUNCTION("""COMPUTED_VALUE"""),45778.0)</f>
        <v>45778</v>
      </c>
      <c r="J5" s="7">
        <f>IFERROR(__xludf.DUMMYFUNCTION("""COMPUTED_VALUE"""),46022.0)</f>
        <v>46022</v>
      </c>
      <c r="K5" s="3" t="str">
        <f>IFERROR(__xludf.DUMMYFUNCTION("""COMPUTED_VALUE"""),"Monday, Tuesday, Wednesday, Thursday, Friday, Saturday, Sunday")</f>
        <v>Monday, Tuesday, Wednesday, Thursday, Friday, Saturday, Sunday</v>
      </c>
      <c r="L5" s="3" t="str">
        <f>IFERROR(__xludf.DUMMYFUNCTION("""COMPUTED_VALUE"""),"08:00 AM - 06:00 PM 08:00 AM - 06:00 PM 08:00 AM - 06:00 PM 08:00 AM - 06:00 PM 08:00 AM - 06:00 PM 09:00 AM - 05:00 PM 09:00 AM - 05:00 PM")</f>
        <v>08:00 AM - 06:00 PM 08:00 AM - 06:00 PM 08:00 AM - 06:00 PM 08:00 AM - 06:00 PM 08:00 AM - 06:00 PM 09:00 AM - 05:00 PM 09:00 AM - 05:00 PM</v>
      </c>
      <c r="M5" s="3" t="str">
        <f>IFERROR(__xludf.DUMMYFUNCTION("""COMPUTED_VALUE"""),"Weekly")</f>
        <v>Weekly</v>
      </c>
      <c r="N5" s="6" t="str">
        <f>IFERROR(__xludf.DUMMYFUNCTION("""COMPUTED_VALUE"""),"http://www.farmersmarketbelleville.com")</f>
        <v>http://www.farmersmarketbelleville.com</v>
      </c>
      <c r="O5" s="6" t="str">
        <f>IFERROR(__xludf.DUMMYFUNCTION("""COMPUTED_VALUE"""),"http://www.instagram.com/farmersmarketbelleville")</f>
        <v>http://www.instagram.com/farmersmarketbelleville</v>
      </c>
      <c r="P5" s="6" t="str">
        <f>IFERROR(__xludf.DUMMYFUNCTION("""COMPUTED_VALUE"""),"http://www.facebook.com/farmersmarketnorthillinois/")</f>
        <v>http://www.facebook.com/farmersmarketnorthillinois/</v>
      </c>
      <c r="Q5" s="3" t="str">
        <f>IFERROR(__xludf.DUMMYFUNCTION("""COMPUTED_VALUE"""),"Southern IL")</f>
        <v>Southern IL</v>
      </c>
      <c r="R5" s="3"/>
    </row>
    <row r="6">
      <c r="A6" s="3" t="str">
        <f>IFERROR(__xludf.DUMMYFUNCTION("""COMPUTED_VALUE"""),"Champaign-Urbana Winter Farmers Market")</f>
        <v>Champaign-Urbana Winter Farmers Market</v>
      </c>
      <c r="B6" s="3" t="str">
        <f>IFERROR(__xludf.DUMMYFUNCTION("""COMPUTED_VALUE"""),"Winter Market")</f>
        <v>Winter Market</v>
      </c>
      <c r="C6" s="3" t="str">
        <f>IFERROR(__xludf.DUMMYFUNCTION("""COMPUTED_VALUE"""),"40.11109107925791, -88.20738620292884")</f>
        <v>40.11109107925791, -88.20738620292884</v>
      </c>
      <c r="D6" s="3" t="str">
        <f>IFERROR(__xludf.DUMMYFUNCTION("""COMPUTED_VALUE"""),"201 Lincoln Square")</f>
        <v>201 Lincoln Square</v>
      </c>
      <c r="E6" s="3"/>
      <c r="F6" s="3" t="str">
        <f>IFERROR(__xludf.DUMMYFUNCTION("""COMPUTED_VALUE"""),"Urbana")</f>
        <v>Urbana</v>
      </c>
      <c r="G6" s="3" t="str">
        <f>IFERROR(__xludf.DUMMYFUNCTION("""COMPUTED_VALUE"""),"IL")</f>
        <v>IL</v>
      </c>
      <c r="H6" s="4">
        <f>IFERROR(__xludf.DUMMYFUNCTION("""COMPUTED_VALUE"""),61801.0)</f>
        <v>61801</v>
      </c>
      <c r="I6" s="5">
        <f>IFERROR(__xludf.DUMMYFUNCTION("""COMPUTED_VALUE"""),45962.0)</f>
        <v>45962</v>
      </c>
      <c r="J6" s="7">
        <f>IFERROR(__xludf.DUMMYFUNCTION("""COMPUTED_VALUE"""),46137.0)</f>
        <v>46137</v>
      </c>
      <c r="K6" s="3" t="str">
        <f>IFERROR(__xludf.DUMMYFUNCTION("""COMPUTED_VALUE"""),"Saturday")</f>
        <v>Saturday</v>
      </c>
      <c r="L6" s="3" t="str">
        <f>IFERROR(__xludf.DUMMYFUNCTION("""COMPUTED_VALUE"""),"08:00 AM - 12:00 PM")</f>
        <v>08:00 AM - 12:00 PM</v>
      </c>
      <c r="M6" s="3" t="str">
        <f>IFERROR(__xludf.DUMMYFUNCTION("""COMPUTED_VALUE"""),"Weekly")</f>
        <v>Weekly</v>
      </c>
      <c r="N6" s="6" t="str">
        <f>IFERROR(__xludf.DUMMYFUNCTION("""COMPUTED_VALUE"""),"http://www.thelandconnection.org/champaign-farmers-market/")</f>
        <v>http://www.thelandconnection.org/champaign-farmers-market/</v>
      </c>
      <c r="O6" s="6" t="str">
        <f>IFERROR(__xludf.DUMMYFUNCTION("""COMPUTED_VALUE"""),"http://www.instagram.com/cufarmersmarkets/")</f>
        <v>http://www.instagram.com/cufarmersmarkets/</v>
      </c>
      <c r="P6" s="6" t="str">
        <f>IFERROR(__xludf.DUMMYFUNCTION("""COMPUTED_VALUE"""),"http://www.facebook.com/CUFarmersMarkets/")</f>
        <v>http://www.facebook.com/CUFarmersMarkets/</v>
      </c>
      <c r="Q6" s="3" t="str">
        <f>IFERROR(__xludf.DUMMYFUNCTION("""COMPUTED_VALUE"""),"Central IL")</f>
        <v>Central IL</v>
      </c>
      <c r="R6" s="3"/>
    </row>
    <row r="7">
      <c r="A7" s="3" t="str">
        <f>IFERROR(__xludf.DUMMYFUNCTION("""COMPUTED_VALUE"""),"Chicago Patchwork Farms - CSA")</f>
        <v>Chicago Patchwork Farms - CSA</v>
      </c>
      <c r="B7" s="3" t="str">
        <f>IFERROR(__xludf.DUMMYFUNCTION("""COMPUTED_VALUE"""),"CSA")</f>
        <v>CSA</v>
      </c>
      <c r="C7" s="3" t="str">
        <f>IFERROR(__xludf.DUMMYFUNCTION("""COMPUTED_VALUE"""),"41.89548180525697, -87.69892926222204")</f>
        <v>41.89548180525697, -87.69892926222204</v>
      </c>
      <c r="D7" s="3"/>
      <c r="E7" s="3"/>
      <c r="F7" s="3"/>
      <c r="G7" s="3"/>
      <c r="H7" s="4"/>
      <c r="I7" s="5">
        <f>IFERROR(__xludf.DUMMYFUNCTION("""COMPUTED_VALUE"""),45808.0)</f>
        <v>45808</v>
      </c>
      <c r="J7" s="7">
        <f>IFERROR(__xludf.DUMMYFUNCTION("""COMPUTED_VALUE"""),45962.0)</f>
        <v>45962</v>
      </c>
      <c r="K7" s="3" t="str">
        <f>IFERROR(__xludf.DUMMYFUNCTION("""COMPUTED_VALUE"""),"Wednesday, Saturday")</f>
        <v>Wednesday, Saturday</v>
      </c>
      <c r="L7" s="3"/>
      <c r="M7" s="3" t="str">
        <f>IFERROR(__xludf.DUMMYFUNCTION("""COMPUTED_VALUE"""),"Weekly")</f>
        <v>Weekly</v>
      </c>
      <c r="N7" s="6" t="str">
        <f>IFERROR(__xludf.DUMMYFUNCTION("""COMPUTED_VALUE"""),"http://chicagopatchworkfarms.com")</f>
        <v>http://chicagopatchworkfarms.com</v>
      </c>
      <c r="O7" s="6" t="str">
        <f>IFERROR(__xludf.DUMMYFUNCTION("""COMPUTED_VALUE"""),"http://www.instagram.com/chicagopatchworkfarms")</f>
        <v>http://www.instagram.com/chicagopatchworkfarms</v>
      </c>
      <c r="P7" s="6" t="str">
        <f>IFERROR(__xludf.DUMMYFUNCTION("""COMPUTED_VALUE"""),"http://www.facebook.com/chicagopatchworkfarms")</f>
        <v>http://www.facebook.com/chicagopatchworkfarms</v>
      </c>
      <c r="Q7" s="3" t="str">
        <f>IFERROR(__xludf.DUMMYFUNCTION("""COMPUTED_VALUE"""),"Chicago")</f>
        <v>Chicago</v>
      </c>
      <c r="R7" s="3"/>
    </row>
    <row r="8">
      <c r="A8" s="3" t="str">
        <f>IFERROR(__xludf.DUMMYFUNCTION("""COMPUTED_VALUE"""),"Danville Winter Farmers Market")</f>
        <v>Danville Winter Farmers Market</v>
      </c>
      <c r="B8" s="3" t="str">
        <f>IFERROR(__xludf.DUMMYFUNCTION("""COMPUTED_VALUE"""),"Winter Market")</f>
        <v>Winter Market</v>
      </c>
      <c r="C8" s="3" t="str">
        <f>IFERROR(__xludf.DUMMYFUNCTION("""COMPUTED_VALUE"""),"40.1268330552687, -87.63286851642061")</f>
        <v>40.1268330552687, -87.63286851642061</v>
      </c>
      <c r="D8" s="3" t="str">
        <f>IFERROR(__xludf.DUMMYFUNCTION("""COMPUTED_VALUE"""),"100 N Franklin St")</f>
        <v>100 N Franklin St</v>
      </c>
      <c r="E8" s="3"/>
      <c r="F8" s="3" t="str">
        <f>IFERROR(__xludf.DUMMYFUNCTION("""COMPUTED_VALUE"""),"Danville")</f>
        <v>Danville</v>
      </c>
      <c r="G8" s="3" t="str">
        <f>IFERROR(__xludf.DUMMYFUNCTION("""COMPUTED_VALUE"""),"IL")</f>
        <v>IL</v>
      </c>
      <c r="H8" s="4">
        <f>IFERROR(__xludf.DUMMYFUNCTION("""COMPUTED_VALUE"""),61814.0)</f>
        <v>61814</v>
      </c>
      <c r="I8" s="5">
        <f>IFERROR(__xludf.DUMMYFUNCTION("""COMPUTED_VALUE"""),45962.0)</f>
        <v>45962</v>
      </c>
      <c r="J8" s="7">
        <f>IFERROR(__xludf.DUMMYFUNCTION("""COMPUTED_VALUE"""),46130.0)</f>
        <v>46130</v>
      </c>
      <c r="K8" s="3" t="str">
        <f>IFERROR(__xludf.DUMMYFUNCTION("""COMPUTED_VALUE"""),"Saturday")</f>
        <v>Saturday</v>
      </c>
      <c r="L8" s="3" t="str">
        <f>IFERROR(__xludf.DUMMYFUNCTION("""COMPUTED_VALUE"""),"10:00 AM - 02:00 PM")</f>
        <v>10:00 AM - 02:00 PM</v>
      </c>
      <c r="M8" s="3" t="str">
        <f>IFERROR(__xludf.DUMMYFUNCTION("""COMPUTED_VALUE"""),"Other")</f>
        <v>Other</v>
      </c>
      <c r="N8" s="3"/>
      <c r="O8" s="3"/>
      <c r="P8" s="6" t="str">
        <f>IFERROR(__xludf.DUMMYFUNCTION("""COMPUTED_VALUE"""),"http://www.facebook.com/DanvilleFM/")</f>
        <v>http://www.facebook.com/DanvilleFM/</v>
      </c>
      <c r="Q8" s="3" t="str">
        <f>IFERROR(__xludf.DUMMYFUNCTION("""COMPUTED_VALUE"""),"Central IL")</f>
        <v>Central IL</v>
      </c>
      <c r="R8" s="3" t="str">
        <f>IFERROR(__xludf.DUMMYFUNCTION("""COMPUTED_VALUE"""),"Nov 1, 22 | Dec 6, 20 | Jan 17 | Feb 7, 21 | Mar 7, 21 | Apr 4, 18 
Market is at First Presbyterian Church - 100 N Franklin
Nov 8 | Dec 13 | Jan 10 | Feb 14 | Mar 14 | Apr 11
Market is at Sarge's Tap - 409 E Main St")</f>
        <v>Nov 1, 22 | Dec 6, 20 | Jan 17 | Feb 7, 21 | Mar 7, 21 | Apr 4, 18 
Market is at First Presbyterian Church - 100 N Franklin
Nov 8 | Dec 13 | Jan 10 | Feb 14 | Mar 14 | Apr 11
Market is at Sarge's Tap - 409 E Main St</v>
      </c>
    </row>
    <row r="9">
      <c r="A9" s="3" t="str">
        <f>IFERROR(__xludf.DUMMYFUNCTION("""COMPUTED_VALUE"""),"DE Farms")</f>
        <v>DE Farms</v>
      </c>
      <c r="B9" s="3" t="str">
        <f>IFERROR(__xludf.DUMMYFUNCTION("""COMPUTED_VALUE"""),"Farm Stand")</f>
        <v>Farm Stand</v>
      </c>
      <c r="C9" s="3" t="str">
        <f>IFERROR(__xludf.DUMMYFUNCTION("""COMPUTED_VALUE"""),"42.30110155255559, -88.62863947529009")</f>
        <v>42.30110155255559, -88.62863947529009</v>
      </c>
      <c r="D9" s="3" t="str">
        <f>IFERROR(__xludf.DUMMYFUNCTION("""COMPUTED_VALUE"""),"1913  Hawthorn Rd")</f>
        <v>1913  Hawthorn Rd</v>
      </c>
      <c r="E9" s="3"/>
      <c r="F9" s="3" t="str">
        <f>IFERROR(__xludf.DUMMYFUNCTION("""COMPUTED_VALUE"""),"Marengo")</f>
        <v>Marengo</v>
      </c>
      <c r="G9" s="3" t="str">
        <f>IFERROR(__xludf.DUMMYFUNCTION("""COMPUTED_VALUE"""),"IL")</f>
        <v>IL</v>
      </c>
      <c r="H9" s="4">
        <f>IFERROR(__xludf.DUMMYFUNCTION("""COMPUTED_VALUE"""),60152.0)</f>
        <v>60152</v>
      </c>
      <c r="I9" s="5">
        <f>IFERROR(__xludf.DUMMYFUNCTION("""COMPUTED_VALUE"""),45748.0)</f>
        <v>45748</v>
      </c>
      <c r="J9" s="7">
        <f>IFERROR(__xludf.DUMMYFUNCTION("""COMPUTED_VALUE"""),45991.0)</f>
        <v>45991</v>
      </c>
      <c r="K9" s="3" t="str">
        <f>IFERROR(__xludf.DUMMYFUNCTION("""COMPUTED_VALUE"""),"Sunday")</f>
        <v>Sunday</v>
      </c>
      <c r="L9" s="3" t="str">
        <f>IFERROR(__xludf.DUMMYFUNCTION("""COMPUTED_VALUE"""),"08:00 AM - 08:00 PM")</f>
        <v>08:00 AM - 08:00 PM</v>
      </c>
      <c r="M9" s="3" t="str">
        <f>IFERROR(__xludf.DUMMYFUNCTION("""COMPUTED_VALUE"""),"Weekly")</f>
        <v>Weekly</v>
      </c>
      <c r="N9" s="3"/>
      <c r="O9" s="3"/>
      <c r="P9" s="3"/>
      <c r="Q9" s="3" t="str">
        <f>IFERROR(__xludf.DUMMYFUNCTION("""COMPUTED_VALUE"""),"Northern IL")</f>
        <v>Northern IL</v>
      </c>
      <c r="R9" s="3" t="str">
        <f>IFERROR(__xludf.DUMMYFUNCTION("""COMPUTED_VALUE"""),"farm stand is open daylight hours on Sundays")</f>
        <v>farm stand is open daylight hours on Sundays</v>
      </c>
    </row>
    <row r="10">
      <c r="A10" s="3" t="str">
        <f>IFERROR(__xludf.DUMMYFUNCTION("""COMPUTED_VALUE"""),"DeMange Farm")</f>
        <v>DeMange Farm</v>
      </c>
      <c r="B10" s="3" t="str">
        <f>IFERROR(__xludf.DUMMYFUNCTION("""COMPUTED_VALUE"""),"Farm Stand")</f>
        <v>Farm Stand</v>
      </c>
      <c r="C10" s="3" t="str">
        <f>IFERROR(__xludf.DUMMYFUNCTION("""COMPUTED_VALUE"""),"38.581754436808225, -90.09425699244574")</f>
        <v>38.581754436808225, -90.09425699244574</v>
      </c>
      <c r="D10" s="3" t="str">
        <f>IFERROR(__xludf.DUMMYFUNCTION("""COMPUTED_VALUE"""),"5750 Pocket")</f>
        <v>5750 Pocket</v>
      </c>
      <c r="E10" s="3"/>
      <c r="F10" s="3" t="str">
        <f>IFERROR(__xludf.DUMMYFUNCTION("""COMPUTED_VALUE"""),"East St Louis")</f>
        <v>East St Louis</v>
      </c>
      <c r="G10" s="3" t="str">
        <f>IFERROR(__xludf.DUMMYFUNCTION("""COMPUTED_VALUE"""),"IL")</f>
        <v>IL</v>
      </c>
      <c r="H10" s="4">
        <f>IFERROR(__xludf.DUMMYFUNCTION("""COMPUTED_VALUE"""),62205.0)</f>
        <v>62205</v>
      </c>
      <c r="I10" s="5">
        <f>IFERROR(__xludf.DUMMYFUNCTION("""COMPUTED_VALUE"""),45748.0)</f>
        <v>45748</v>
      </c>
      <c r="J10" s="7">
        <f>IFERROR(__xludf.DUMMYFUNCTION("""COMPUTED_VALUE"""),45989.0)</f>
        <v>45989</v>
      </c>
      <c r="K10" s="3" t="str">
        <f>IFERROR(__xludf.DUMMYFUNCTION("""COMPUTED_VALUE"""),"Monday, Tuesday, Wednesday, Thursday, Friday, Saturday")</f>
        <v>Monday, Tuesday, Wednesday, Thursday, Friday, Saturday</v>
      </c>
      <c r="L10" s="3" t="str">
        <f>IFERROR(__xludf.DUMMYFUNCTION("""COMPUTED_VALUE"""),"08:00 AM - 04:00 PM 08:00 AM - 04:00 PM 08:00 AM - 04:00 PM 08:00 AM - 04:00 PM 08:00 AM - 04:00 PM 08:00 AM - 02:00 PM")</f>
        <v>08:00 AM - 04:00 PM 08:00 AM - 04:00 PM 08:00 AM - 04:00 PM 08:00 AM - 04:00 PM 08:00 AM - 04:00 PM 08:00 AM - 02:00 PM</v>
      </c>
      <c r="M10" s="3" t="str">
        <f>IFERROR(__xludf.DUMMYFUNCTION("""COMPUTED_VALUE"""),"Weekly")</f>
        <v>Weekly</v>
      </c>
      <c r="N10" s="3"/>
      <c r="O10" s="3"/>
      <c r="P10" s="6" t="str">
        <f>IFERROR(__xludf.DUMMYFUNCTION("""COMPUTED_VALUE"""),"http://www.facebook.com/demangefarm")</f>
        <v>http://www.facebook.com/demangefarm</v>
      </c>
      <c r="Q10" s="3" t="str">
        <f>IFERROR(__xludf.DUMMYFUNCTION("""COMPUTED_VALUE"""),"Southern IL")</f>
        <v>Southern IL</v>
      </c>
      <c r="R10" s="3"/>
    </row>
    <row r="11">
      <c r="A11" s="3" t="str">
        <f>IFERROR(__xludf.DUMMYFUNCTION("""COMPUTED_VALUE"""),"Downtown Bloomington Indoor Farmers' Market")</f>
        <v>Downtown Bloomington Indoor Farmers' Market</v>
      </c>
      <c r="B11" s="3" t="str">
        <f>IFERROR(__xludf.DUMMYFUNCTION("""COMPUTED_VALUE"""),"Winter Market")</f>
        <v>Winter Market</v>
      </c>
      <c r="C11" s="3" t="str">
        <f>IFERROR(__xludf.DUMMYFUNCTION("""COMPUTED_VALUE"""),"40.47816479002637, -88.99654674574985")</f>
        <v>40.47816479002637, -88.99654674574985</v>
      </c>
      <c r="D11" s="3" t="str">
        <f>IFERROR(__xludf.DUMMYFUNCTION("""COMPUTED_VALUE"""),"101 S Madison St")</f>
        <v>101 S Madison St</v>
      </c>
      <c r="E11" s="3"/>
      <c r="F11" s="3" t="str">
        <f>IFERROR(__xludf.DUMMYFUNCTION("""COMPUTED_VALUE"""),"Bloomington")</f>
        <v>Bloomington</v>
      </c>
      <c r="G11" s="3" t="str">
        <f>IFERROR(__xludf.DUMMYFUNCTION("""COMPUTED_VALUE"""),"IL")</f>
        <v>IL</v>
      </c>
      <c r="H11" s="4">
        <f>IFERROR(__xludf.DUMMYFUNCTION("""COMPUTED_VALUE"""),61701.0)</f>
        <v>61701</v>
      </c>
      <c r="I11" s="5">
        <f>IFERROR(__xludf.DUMMYFUNCTION("""COMPUTED_VALUE"""),45983.0)</f>
        <v>45983</v>
      </c>
      <c r="J11" s="7">
        <f>IFERROR(__xludf.DUMMYFUNCTION("""COMPUTED_VALUE"""),46130.0)</f>
        <v>46130</v>
      </c>
      <c r="K11" s="3" t="str">
        <f>IFERROR(__xludf.DUMMYFUNCTION("""COMPUTED_VALUE"""),"Saturday")</f>
        <v>Saturday</v>
      </c>
      <c r="L11" s="3" t="str">
        <f>IFERROR(__xludf.DUMMYFUNCTION("""COMPUTED_VALUE"""),"09:00 AM - 12:00 PM")</f>
        <v>09:00 AM - 12:00 PM</v>
      </c>
      <c r="M11" s="3" t="str">
        <f>IFERROR(__xludf.DUMMYFUNCTION("""COMPUTED_VALUE"""),"Monthly")</f>
        <v>Monthly</v>
      </c>
      <c r="N11" s="6" t="str">
        <f>IFERROR(__xludf.DUMMYFUNCTION("""COMPUTED_VALUE"""),"http://www.downtownbloomington.org/farmers-market")</f>
        <v>http://www.downtownbloomington.org/farmers-market</v>
      </c>
      <c r="O11" s="6" t="str">
        <f>IFERROR(__xludf.DUMMYFUNCTION("""COMPUTED_VALUE"""),"http://www.instagram.com/bloomingtonmarket/")</f>
        <v>http://www.instagram.com/bloomingtonmarket/</v>
      </c>
      <c r="P11" s="6" t="str">
        <f>IFERROR(__xludf.DUMMYFUNCTION("""COMPUTED_VALUE"""),"http://www.facebook.com/BLMFarmersMarket")</f>
        <v>http://www.facebook.com/BLMFarmersMarket</v>
      </c>
      <c r="Q11" s="3" t="str">
        <f>IFERROR(__xludf.DUMMYFUNCTION("""COMPUTED_VALUE"""),"Central IL")</f>
        <v>Central IL</v>
      </c>
      <c r="R11" s="3" t="str">
        <f>IFERROR(__xludf.DUMMYFUNCTION("""COMPUTED_VALUE"""),"Nov 22 | Dec 20 | Jan 17 | Feb 21 | Mar 21 | Apr 18")</f>
        <v>Nov 22 | Dec 20 | Jan 17 | Feb 21 | Mar 21 | Apr 18</v>
      </c>
    </row>
    <row r="12">
      <c r="A12" s="3" t="str">
        <f>IFERROR(__xludf.DUMMYFUNCTION("""COMPUTED_VALUE"""),"Evanston Indoor Market")</f>
        <v>Evanston Indoor Market</v>
      </c>
      <c r="B12" s="3" t="str">
        <f>IFERROR(__xludf.DUMMYFUNCTION("""COMPUTED_VALUE"""),"Winter Market")</f>
        <v>Winter Market</v>
      </c>
      <c r="C12" s="3" t="str">
        <f>IFERROR(__xludf.DUMMYFUNCTION("""COMPUTED_VALUE"""),"42.056776924661044, -87.7008558176345")</f>
        <v>42.056776924661044, -87.7008558176345</v>
      </c>
      <c r="D12" s="3" t="str">
        <f>IFERROR(__xludf.DUMMYFUNCTION("""COMPUTED_VALUE"""),"2024 McCormick Blvd")</f>
        <v>2024 McCormick Blvd</v>
      </c>
      <c r="E12" s="3"/>
      <c r="F12" s="3" t="str">
        <f>IFERROR(__xludf.DUMMYFUNCTION("""COMPUTED_VALUE"""),"Evanston")</f>
        <v>Evanston</v>
      </c>
      <c r="G12" s="3" t="str">
        <f>IFERROR(__xludf.DUMMYFUNCTION("""COMPUTED_VALUE"""),"IL")</f>
        <v>IL</v>
      </c>
      <c r="H12" s="4">
        <f>IFERROR(__xludf.DUMMYFUNCTION("""COMPUTED_VALUE"""),60201.0)</f>
        <v>60201</v>
      </c>
      <c r="I12" s="5">
        <f>IFERROR(__xludf.DUMMYFUNCTION("""COMPUTED_VALUE"""),45969.0)</f>
        <v>45969</v>
      </c>
      <c r="J12" s="7">
        <f>IFERROR(__xludf.DUMMYFUNCTION("""COMPUTED_VALUE"""),46137.0)</f>
        <v>46137</v>
      </c>
      <c r="K12" s="3" t="str">
        <f>IFERROR(__xludf.DUMMYFUNCTION("""COMPUTED_VALUE"""),"Saturday")</f>
        <v>Saturday</v>
      </c>
      <c r="L12" s="3" t="str">
        <f>IFERROR(__xludf.DUMMYFUNCTION("""COMPUTED_VALUE"""),"08:00 AM - 12:00 PM")</f>
        <v>08:00 AM - 12:00 PM</v>
      </c>
      <c r="M12" s="3" t="str">
        <f>IFERROR(__xludf.DUMMYFUNCTION("""COMPUTED_VALUE"""),"Other")</f>
        <v>Other</v>
      </c>
      <c r="N12" s="6" t="str">
        <f>IFERROR(__xludf.DUMMYFUNCTION("""COMPUTED_VALUE"""),"https://www.cityofevanston.org/government/departments/parks-recreation-community-services/programs-events/farmers-market-indoor")</f>
        <v>https://www.cityofevanston.org/government/departments/parks-recreation-community-services/programs-events/farmers-market-indoor</v>
      </c>
      <c r="O12" s="6" t="str">
        <f>IFERROR(__xludf.DUMMYFUNCTION("""COMPUTED_VALUE"""),"http://www.instagram.com/evanston_farmers_market/")</f>
        <v>http://www.instagram.com/evanston_farmers_market/</v>
      </c>
      <c r="P12" s="3"/>
      <c r="Q12" s="3" t="str">
        <f>IFERROR(__xludf.DUMMYFUNCTION("""COMPUTED_VALUE"""),"Chicago Suburbs")</f>
        <v>Chicago Suburbs</v>
      </c>
      <c r="R12" s="3" t="str">
        <f>IFERROR(__xludf.DUMMYFUNCTION("""COMPUTED_VALUE"""),"Nov 8, 15, 29 | Dec 13, 27 | Jan 10, 24 | Feb 7, 21 | Mar 7, 21 | Apr 4, 11, 18, 25")</f>
        <v>Nov 8, 15, 29 | Dec 13, 27 | Jan 10, 24 | Feb 7, 21 | Mar 7, 21 | Apr 4, 11, 18, 25</v>
      </c>
    </row>
    <row r="13">
      <c r="A13" s="3" t="str">
        <f>IFERROR(__xludf.DUMMYFUNCTION("""COMPUTED_VALUE"""),"Farm on Ogden")</f>
        <v>Farm on Ogden</v>
      </c>
      <c r="B13" s="3" t="str">
        <f>IFERROR(__xludf.DUMMYFUNCTION("""COMPUTED_VALUE"""),"Retail Space")</f>
        <v>Retail Space</v>
      </c>
      <c r="C13" s="3" t="str">
        <f>IFERROR(__xludf.DUMMYFUNCTION("""COMPUTED_VALUE"""),"41.8543796320394, -87.71439234568817")</f>
        <v>41.8543796320394, -87.71439234568817</v>
      </c>
      <c r="D13" s="3" t="str">
        <f>IFERROR(__xludf.DUMMYFUNCTION("""COMPUTED_VALUE"""),"3555 W Ogden Ave")</f>
        <v>3555 W Ogden Ave</v>
      </c>
      <c r="E13" s="3"/>
      <c r="F13" s="3" t="str">
        <f>IFERROR(__xludf.DUMMYFUNCTION("""COMPUTED_VALUE"""),"Chicago")</f>
        <v>Chicago</v>
      </c>
      <c r="G13" s="3" t="str">
        <f>IFERROR(__xludf.DUMMYFUNCTION("""COMPUTED_VALUE"""),"IL")</f>
        <v>IL</v>
      </c>
      <c r="H13" s="4">
        <f>IFERROR(__xludf.DUMMYFUNCTION("""COMPUTED_VALUE"""),60623.0)</f>
        <v>60623</v>
      </c>
      <c r="I13" s="5">
        <f>IFERROR(__xludf.DUMMYFUNCTION("""COMPUTED_VALUE"""),45658.0)</f>
        <v>45658</v>
      </c>
      <c r="J13" s="7">
        <f>IFERROR(__xludf.DUMMYFUNCTION("""COMPUTED_VALUE"""),46022.0)</f>
        <v>46022</v>
      </c>
      <c r="K13" s="3" t="str">
        <f>IFERROR(__xludf.DUMMYFUNCTION("""COMPUTED_VALUE"""),"Tuesday, Wednesday, Thursday, Friday, Saturday")</f>
        <v>Tuesday, Wednesday, Thursday, Friday, Saturday</v>
      </c>
      <c r="L13" s="3" t="str">
        <f>IFERROR(__xludf.DUMMYFUNCTION("""COMPUTED_VALUE"""),"11:00 AM - 06:00 PM 11:00 AM - 06:00 PM 11:00 AM - 06:00 PM 11:00 AM - 06:00 PM 09:00 AM - 03:00 PM")</f>
        <v>11:00 AM - 06:00 PM 11:00 AM - 06:00 PM 11:00 AM - 06:00 PM 11:00 AM - 06:00 PM 09:00 AM - 03:00 PM</v>
      </c>
      <c r="M13" s="3" t="str">
        <f>IFERROR(__xludf.DUMMYFUNCTION("""COMPUTED_VALUE"""),"Weekly")</f>
        <v>Weekly</v>
      </c>
      <c r="N13" s="6" t="str">
        <f>IFERROR(__xludf.DUMMYFUNCTION("""COMPUTED_VALUE"""),"http://www.chicagobotanic.org/urbanagriculture/farm_on_ogden")</f>
        <v>http://www.chicagobotanic.org/urbanagriculture/farm_on_ogden</v>
      </c>
      <c r="O13" s="6" t="str">
        <f>IFERROR(__xludf.DUMMYFUNCTION("""COMPUTED_VALUE"""),"http://www.instagram.com/windycityharvest/")</f>
        <v>http://www.instagram.com/windycityharvest/</v>
      </c>
      <c r="P13" s="6" t="str">
        <f>IFERROR(__xludf.DUMMYFUNCTION("""COMPUTED_VALUE"""),"http://www.facebook.com/windycityharvest/")</f>
        <v>http://www.facebook.com/windycityharvest/</v>
      </c>
      <c r="Q13" s="3" t="str">
        <f>IFERROR(__xludf.DUMMYFUNCTION("""COMPUTED_VALUE"""),"Chicago")</f>
        <v>Chicago</v>
      </c>
      <c r="R13" s="3"/>
    </row>
    <row r="14">
      <c r="A14" s="3" t="str">
        <f>IFERROR(__xludf.DUMMYFUNCTION("""COMPUTED_VALUE"""),"Farmer’s Market of Carbondale")</f>
        <v>Farmer’s Market of Carbondale</v>
      </c>
      <c r="B14" s="3" t="str">
        <f>IFERROR(__xludf.DUMMYFUNCTION("""COMPUTED_VALUE"""),"Farmers Market")</f>
        <v>Farmers Market</v>
      </c>
      <c r="C14" s="3" t="str">
        <f>IFERROR(__xludf.DUMMYFUNCTION("""COMPUTED_VALUE"""),"37.729517540540556, -89.24344204515462")</f>
        <v>37.729517540540556, -89.24344204515462</v>
      </c>
      <c r="D14" s="3" t="str">
        <f>IFERROR(__xludf.DUMMYFUNCTION("""COMPUTED_VALUE"""),"2101 W Main St")</f>
        <v>2101 W Main St</v>
      </c>
      <c r="E14" s="3"/>
      <c r="F14" s="3" t="str">
        <f>IFERROR(__xludf.DUMMYFUNCTION("""COMPUTED_VALUE"""),"Carbondale")</f>
        <v>Carbondale</v>
      </c>
      <c r="G14" s="3" t="str">
        <f>IFERROR(__xludf.DUMMYFUNCTION("""COMPUTED_VALUE"""),"IL")</f>
        <v>IL</v>
      </c>
      <c r="H14" s="4">
        <f>IFERROR(__xludf.DUMMYFUNCTION("""COMPUTED_VALUE"""),62901.0)</f>
        <v>62901</v>
      </c>
      <c r="I14" s="5">
        <f>IFERROR(__xludf.DUMMYFUNCTION("""COMPUTED_VALUE"""),45745.0)</f>
        <v>45745</v>
      </c>
      <c r="J14" s="7">
        <f>IFERROR(__xludf.DUMMYFUNCTION("""COMPUTED_VALUE"""),45997.0)</f>
        <v>45997</v>
      </c>
      <c r="K14" s="3" t="str">
        <f>IFERROR(__xludf.DUMMYFUNCTION("""COMPUTED_VALUE"""),"Saturday")</f>
        <v>Saturday</v>
      </c>
      <c r="L14" s="3" t="str">
        <f>IFERROR(__xludf.DUMMYFUNCTION("""COMPUTED_VALUE"""),"08:00 AM - 12:00 PM")</f>
        <v>08:00 AM - 12:00 PM</v>
      </c>
      <c r="M14" s="3" t="str">
        <f>IFERROR(__xludf.DUMMYFUNCTION("""COMPUTED_VALUE"""),"Weekly")</f>
        <v>Weekly</v>
      </c>
      <c r="N14" s="6" t="str">
        <f>IFERROR(__xludf.DUMMYFUNCTION("""COMPUTED_VALUE"""),"http://www.farmersmarketcarbondale.com/")</f>
        <v>http://www.farmersmarketcarbondale.com/</v>
      </c>
      <c r="O14" s="3"/>
      <c r="P14" s="6" t="str">
        <f>IFERROR(__xludf.DUMMYFUNCTION("""COMPUTED_VALUE"""),"http://www.facebook.com/farmersmarketcarbondale/")</f>
        <v>http://www.facebook.com/farmersmarketcarbondale/</v>
      </c>
      <c r="Q14" s="3" t="str">
        <f>IFERROR(__xludf.DUMMYFUNCTION("""COMPUTED_VALUE"""),"Southern IL")</f>
        <v>Southern IL</v>
      </c>
      <c r="R14" s="3"/>
    </row>
    <row r="15">
      <c r="A15" s="3" t="str">
        <f>IFERROR(__xludf.DUMMYFUNCTION("""COMPUTED_VALUE"""),"Finding Justice Farm Stand")</f>
        <v>Finding Justice Farm Stand</v>
      </c>
      <c r="B15" s="3" t="str">
        <f>IFERROR(__xludf.DUMMYFUNCTION("""COMPUTED_VALUE"""),"Farm Stand")</f>
        <v>Farm Stand</v>
      </c>
      <c r="C15" s="3" t="str">
        <f>IFERROR(__xludf.DUMMYFUNCTION("""COMPUTED_VALUE"""),"41.88427944841874, -87.73657102935209")</f>
        <v>41.88427944841874, -87.73657102935209</v>
      </c>
      <c r="D15" s="3" t="str">
        <f>IFERROR(__xludf.DUMMYFUNCTION("""COMPUTED_VALUE"""),"217 N Kenneth Ave")</f>
        <v>217 N Kenneth Ave</v>
      </c>
      <c r="E15" s="3"/>
      <c r="F15" s="3" t="str">
        <f>IFERROR(__xludf.DUMMYFUNCTION("""COMPUTED_VALUE"""),"Chicago")</f>
        <v>Chicago</v>
      </c>
      <c r="G15" s="3" t="str">
        <f>IFERROR(__xludf.DUMMYFUNCTION("""COMPUTED_VALUE"""),"IL")</f>
        <v>IL</v>
      </c>
      <c r="H15" s="4">
        <f>IFERROR(__xludf.DUMMYFUNCTION("""COMPUTED_VALUE"""),60624.0)</f>
        <v>60624</v>
      </c>
      <c r="I15" s="5">
        <f>IFERROR(__xludf.DUMMYFUNCTION("""COMPUTED_VALUE"""),45831.0)</f>
        <v>45831</v>
      </c>
      <c r="J15" s="7">
        <f>IFERROR(__xludf.DUMMYFUNCTION("""COMPUTED_VALUE"""),45989.0)</f>
        <v>45989</v>
      </c>
      <c r="K15" s="3" t="str">
        <f>IFERROR(__xludf.DUMMYFUNCTION("""COMPUTED_VALUE"""),"Monday, Tuesday, Wednesday, Thursday, Friday, Saturday, Sunday")</f>
        <v>Monday, Tuesday, Wednesday, Thursday, Friday, Saturday, Sunday</v>
      </c>
      <c r="L15" s="3" t="str">
        <f>IFERROR(__xludf.DUMMYFUNCTION("""COMPUTED_VALUE"""),"09:00 AM - 08:00 PM 09:00 AM - 08:00 PM 09:00 AM - 08:00 PM 09:00 AM - 08:00 PM 09:00 AM - 08:00 PM 07:00 AM - 08:00 PM 09:00 AM - 08:00 PM")</f>
        <v>09:00 AM - 08:00 PM 09:00 AM - 08:00 PM 09:00 AM - 08:00 PM 09:00 AM - 08:00 PM 09:00 AM - 08:00 PM 07:00 AM - 08:00 PM 09:00 AM - 08:00 PM</v>
      </c>
      <c r="M15" s="3" t="str">
        <f>IFERROR(__xludf.DUMMYFUNCTION("""COMPUTED_VALUE"""),"Weekly")</f>
        <v>Weekly</v>
      </c>
      <c r="N15" s="6" t="str">
        <f>IFERROR(__xludf.DUMMYFUNCTION("""COMPUTED_VALUE"""),"http://www.findingjusticegarden.com")</f>
        <v>http://www.findingjusticegarden.com</v>
      </c>
      <c r="O15" s="6" t="str">
        <f>IFERROR(__xludf.DUMMYFUNCTION("""COMPUTED_VALUE"""),"http://www.instagram.com/findingjusticegarden")</f>
        <v>http://www.instagram.com/findingjusticegarden</v>
      </c>
      <c r="P15" s="6" t="str">
        <f>IFERROR(__xludf.DUMMYFUNCTION("""COMPUTED_VALUE"""),"http://www.facebook.com/findingjusticegarden")</f>
        <v>http://www.facebook.com/findingjusticegarden</v>
      </c>
      <c r="Q15" s="3" t="str">
        <f>IFERROR(__xludf.DUMMYFUNCTION("""COMPUTED_VALUE"""),"Chicago")</f>
        <v>Chicago</v>
      </c>
      <c r="R15" s="3" t="str">
        <f>IFERROR(__xludf.DUMMYFUNCTION("""COMPUTED_VALUE"""),"Farm Stand is open Monday -  Sunday during daylight hours. Saturday and Sunday the stand closes by 7.")</f>
        <v>Farm Stand is open Monday -  Sunday during daylight hours. Saturday and Sunday the stand closes by 7.</v>
      </c>
    </row>
    <row r="16">
      <c r="A16" s="3" t="str">
        <f>IFERROR(__xludf.DUMMYFUNCTION("""COMPUTED_VALUE"""),"Finding Justice Market Booth")</f>
        <v>Finding Justice Market Booth</v>
      </c>
      <c r="B16" s="3" t="str">
        <f>IFERROR(__xludf.DUMMYFUNCTION("""COMPUTED_VALUE"""),"Farmers Market")</f>
        <v>Farmers Market</v>
      </c>
      <c r="C16" s="3" t="str">
        <f>IFERROR(__xludf.DUMMYFUNCTION("""COMPUTED_VALUE"""),"41.918635603613644, -87.64582585846988")</f>
        <v>41.918635603613644, -87.64582585846988</v>
      </c>
      <c r="D16" s="3" t="str">
        <f>IFERROR(__xludf.DUMMYFUNCTION("""COMPUTED_VALUE"""),"2001 N Orchard St")</f>
        <v>2001 N Orchard St</v>
      </c>
      <c r="E16" s="3"/>
      <c r="F16" s="3" t="str">
        <f>IFERROR(__xludf.DUMMYFUNCTION("""COMPUTED_VALUE"""),"Chicago")</f>
        <v>Chicago</v>
      </c>
      <c r="G16" s="3" t="str">
        <f>IFERROR(__xludf.DUMMYFUNCTION("""COMPUTED_VALUE"""),"IL")</f>
        <v>IL</v>
      </c>
      <c r="H16" s="4">
        <f>IFERROR(__xludf.DUMMYFUNCTION("""COMPUTED_VALUE"""),60614.0)</f>
        <v>60614</v>
      </c>
      <c r="I16" s="5">
        <f>IFERROR(__xludf.DUMMYFUNCTION("""COMPUTED_VALUE"""),45892.0)</f>
        <v>45892</v>
      </c>
      <c r="J16" s="7">
        <f>IFERROR(__xludf.DUMMYFUNCTION("""COMPUTED_VALUE"""),45983.0)</f>
        <v>45983</v>
      </c>
      <c r="K16" s="3" t="str">
        <f>IFERROR(__xludf.DUMMYFUNCTION("""COMPUTED_VALUE"""),"Saturday")</f>
        <v>Saturday</v>
      </c>
      <c r="L16" s="3" t="str">
        <f>IFERROR(__xludf.DUMMYFUNCTION("""COMPUTED_VALUE"""),"07:00 AM - 01:00 PM")</f>
        <v>07:00 AM - 01:00 PM</v>
      </c>
      <c r="M16" s="3" t="str">
        <f>IFERROR(__xludf.DUMMYFUNCTION("""COMPUTED_VALUE"""),"Weekly")</f>
        <v>Weekly</v>
      </c>
      <c r="N16" s="6" t="str">
        <f>IFERROR(__xludf.DUMMYFUNCTION("""COMPUTED_VALUE"""),"http://www.findingjusticegarden.com")</f>
        <v>http://www.findingjusticegarden.com</v>
      </c>
      <c r="O16" s="6" t="str">
        <f>IFERROR(__xludf.DUMMYFUNCTION("""COMPUTED_VALUE"""),"http://www.instagram.com/findingjusticegarden")</f>
        <v>http://www.instagram.com/findingjusticegarden</v>
      </c>
      <c r="P16" s="6" t="str">
        <f>IFERROR(__xludf.DUMMYFUNCTION("""COMPUTED_VALUE"""),"http://www.facebook.com/findingjusticegarden")</f>
        <v>http://www.facebook.com/findingjusticegarden</v>
      </c>
      <c r="Q16" s="3" t="str">
        <f>IFERROR(__xludf.DUMMYFUNCTION("""COMPUTED_VALUE"""),"Chicago")</f>
        <v>Chicago</v>
      </c>
      <c r="R16" s="3" t="str">
        <f>IFERROR(__xludf.DUMMYFUNCTION("""COMPUTED_VALUE"""),"Find Justice: A Flower and Vegetable Garden runs a booth at the Lincoln Park Farmers Market that runs SNAP and Link Match transactions")</f>
        <v>Find Justice: A Flower and Vegetable Garden runs a booth at the Lincoln Park Farmers Market that runs SNAP and Link Match transactions</v>
      </c>
    </row>
    <row r="17">
      <c r="A17" s="3" t="str">
        <f>IFERROR(__xludf.DUMMYFUNCTION("""COMPUTED_VALUE"""),"Finding Justice Online Market")</f>
        <v>Finding Justice Online Market</v>
      </c>
      <c r="B17" s="3" t="str">
        <f>IFERROR(__xludf.DUMMYFUNCTION("""COMPUTED_VALUE"""),"Grocery Delivery Service")</f>
        <v>Grocery Delivery Service</v>
      </c>
      <c r="C17" s="3" t="str">
        <f>IFERROR(__xludf.DUMMYFUNCTION("""COMPUTED_VALUE"""),"41.88427944841874, -87.73657102935209")</f>
        <v>41.88427944841874, -87.73657102935209</v>
      </c>
      <c r="D17" s="3"/>
      <c r="E17" s="3"/>
      <c r="F17" s="3"/>
      <c r="G17" s="3"/>
      <c r="H17" s="4"/>
      <c r="I17" s="5">
        <f>IFERROR(__xludf.DUMMYFUNCTION("""COMPUTED_VALUE"""),45758.0)</f>
        <v>45758</v>
      </c>
      <c r="J17" s="7">
        <f>IFERROR(__xludf.DUMMYFUNCTION("""COMPUTED_VALUE"""),45991.0)</f>
        <v>45991</v>
      </c>
      <c r="K17" s="3"/>
      <c r="L17" s="3"/>
      <c r="M17" s="3" t="str">
        <f>IFERROR(__xludf.DUMMYFUNCTION("""COMPUTED_VALUE"""),"Weekly")</f>
        <v>Weekly</v>
      </c>
      <c r="N17" s="6" t="str">
        <f>IFERROR(__xludf.DUMMYFUNCTION("""COMPUTED_VALUE"""),"http://www.findingjusticegarden.com")</f>
        <v>http://www.findingjusticegarden.com</v>
      </c>
      <c r="O17" s="6" t="str">
        <f>IFERROR(__xludf.DUMMYFUNCTION("""COMPUTED_VALUE"""),"http://www.instagram.com/findingjusticegarden")</f>
        <v>http://www.instagram.com/findingjusticegarden</v>
      </c>
      <c r="P17" s="6" t="str">
        <f>IFERROR(__xludf.DUMMYFUNCTION("""COMPUTED_VALUE"""),"http://www.facebook.com/findingjusticegarden")</f>
        <v>http://www.facebook.com/findingjusticegarden</v>
      </c>
      <c r="Q17" s="3" t="str">
        <f>IFERROR(__xludf.DUMMYFUNCTION("""COMPUTED_VALUE"""),"Chicago")</f>
        <v>Chicago</v>
      </c>
      <c r="R17" s="3" t="str">
        <f>IFERROR(__xludf.DUMMYFUNCTION("""COMPUTED_VALUE"""),"SNAP users can order online (https://findingjusticegarden.com) and get ordered delivered or pick up at 217 N Kenneth St during Farm Stand hours")</f>
        <v>SNAP users can order online (https://findingjusticegarden.com) and get ordered delivered or pick up at 217 N Kenneth St during Farm Stand hours</v>
      </c>
    </row>
    <row r="18">
      <c r="A18" s="3" t="str">
        <f>IFERROR(__xludf.DUMMYFUNCTION("""COMPUTED_VALUE"""),"Forty Acres Fresh Market")</f>
        <v>Forty Acres Fresh Market</v>
      </c>
      <c r="B18" s="3" t="str">
        <f>IFERROR(__xludf.DUMMYFUNCTION("""COMPUTED_VALUE"""),"Grocery Delivery Service")</f>
        <v>Grocery Delivery Service</v>
      </c>
      <c r="C18" s="3" t="str">
        <f>IFERROR(__xludf.DUMMYFUNCTION("""COMPUTED_VALUE"""),"41.844749210903565, -87.68313961460017")</f>
        <v>41.844749210903565, -87.68313961460017</v>
      </c>
      <c r="D18" s="3"/>
      <c r="E18" s="3"/>
      <c r="F18" s="3"/>
      <c r="G18" s="3"/>
      <c r="H18" s="4"/>
      <c r="I18" s="5">
        <f>IFERROR(__xludf.DUMMYFUNCTION("""COMPUTED_VALUE"""),45658.0)</f>
        <v>45658</v>
      </c>
      <c r="J18" s="7">
        <f>IFERROR(__xludf.DUMMYFUNCTION("""COMPUTED_VALUE"""),46022.0)</f>
        <v>46022</v>
      </c>
      <c r="K18" s="3" t="str">
        <f>IFERROR(__xludf.DUMMYFUNCTION("""COMPUTED_VALUE"""),"Monday, Wednesday, Friday, Sunday")</f>
        <v>Monday, Wednesday, Friday, Sunday</v>
      </c>
      <c r="L18" s="3"/>
      <c r="M18" s="3" t="str">
        <f>IFERROR(__xludf.DUMMYFUNCTION("""COMPUTED_VALUE"""),"Weekly")</f>
        <v>Weekly</v>
      </c>
      <c r="N18" s="6" t="str">
        <f>IFERROR(__xludf.DUMMYFUNCTION("""COMPUTED_VALUE"""),"http://fortyacresfreshmarket.com/delivery")</f>
        <v>http://fortyacresfreshmarket.com/delivery</v>
      </c>
      <c r="O18" s="6" t="str">
        <f>IFERROR(__xludf.DUMMYFUNCTION("""COMPUTED_VALUE"""),"http://www.instagram.com/fortyacresfreshmarket")</f>
        <v>http://www.instagram.com/fortyacresfreshmarket</v>
      </c>
      <c r="P18" s="6" t="str">
        <f>IFERROR(__xludf.DUMMYFUNCTION("""COMPUTED_VALUE"""),"http://www.facebook.com/people/Forty-Acres-Fresh-Market/100084716291348/")</f>
        <v>http://www.facebook.com/people/Forty-Acres-Fresh-Market/100084716291348/</v>
      </c>
      <c r="Q18" s="3" t="str">
        <f>IFERROR(__xludf.DUMMYFUNCTION("""COMPUTED_VALUE"""),"Chicago")</f>
        <v>Chicago</v>
      </c>
      <c r="R18" s="3" t="str">
        <f>IFERROR(__xludf.DUMMYFUNCTION("""COMPUTED_VALUE"""),"Forty Acres Fresh Market runs a residential produce box delivery service. Open year round - check website for details
Ordering: Orders are placed online for weekly, biweekly, or monthly subscriptions or one time deliveries. Minimum order for delivery is "&amp;"$10. SNAP payment is made at the time of delivery. 
Delivery: Sunday, Monday, Wednesday, and Fridays (barring any service changes due to holidays or inclement weather) throughout the city and select I-290 western suburbs based on zip code. ")</f>
        <v>Forty Acres Fresh Market runs a residential produce box delivery service. Open year round - check website for details
Ordering: Orders are placed online for weekly, biweekly, or monthly subscriptions or one time deliveries. Minimum order for delivery is $10. SNAP payment is made at the time of delivery. 
Delivery: Sunday, Monday, Wednesday, and Fridays (barring any service changes due to holidays or inclement weather) throughout the city and select I-290 western suburbs based on zip code. </v>
      </c>
    </row>
    <row r="19">
      <c r="A19" s="3" t="str">
        <f>IFERROR(__xludf.DUMMYFUNCTION("""COMPUTED_VALUE"""),"Fresh Moves Mobile Market")</f>
        <v>Fresh Moves Mobile Market</v>
      </c>
      <c r="B19" s="3" t="str">
        <f>IFERROR(__xludf.DUMMYFUNCTION("""COMPUTED_VALUE"""),"Mobile Market")</f>
        <v>Mobile Market</v>
      </c>
      <c r="C19" s="3" t="str">
        <f>IFERROR(__xludf.DUMMYFUNCTION("""COMPUTED_VALUE"""),"41.837845461813814, -87.65764861231756")</f>
        <v>41.837845461813814, -87.65764861231756</v>
      </c>
      <c r="D19" s="3"/>
      <c r="E19" s="3"/>
      <c r="F19" s="3"/>
      <c r="G19" s="3"/>
      <c r="H19" s="4"/>
      <c r="I19" s="5">
        <f>IFERROR(__xludf.DUMMYFUNCTION("""COMPUTED_VALUE"""),45782.0)</f>
        <v>45782</v>
      </c>
      <c r="J19" s="7">
        <f>IFERROR(__xludf.DUMMYFUNCTION("""COMPUTED_VALUE"""),46000.0)</f>
        <v>46000</v>
      </c>
      <c r="K19" s="3" t="str">
        <f>IFERROR(__xludf.DUMMYFUNCTION("""COMPUTED_VALUE"""),"Monday, Tuesday, Wednesday, Thursday, Friday")</f>
        <v>Monday, Tuesday, Wednesday, Thursday, Friday</v>
      </c>
      <c r="L19" s="3"/>
      <c r="M19" s="3" t="str">
        <f>IFERROR(__xludf.DUMMYFUNCTION("""COMPUTED_VALUE"""),"Weekly")</f>
        <v>Weekly</v>
      </c>
      <c r="N19" s="6" t="str">
        <f>IFERROR(__xludf.DUMMYFUNCTION("""COMPUTED_VALUE"""),"http://www.urbangrowerscollective.org/")</f>
        <v>http://www.urbangrowerscollective.org/</v>
      </c>
      <c r="O19" s="6" t="str">
        <f>IFERROR(__xludf.DUMMYFUNCTION("""COMPUTED_VALUE"""),"http://www.instagram.com/urbangrowerscollective/")</f>
        <v>http://www.instagram.com/urbangrowerscollective/</v>
      </c>
      <c r="P19" s="6" t="str">
        <f>IFERROR(__xludf.DUMMYFUNCTION("""COMPUTED_VALUE"""),"http://www.facebook.com/urbangrowerscollective/")</f>
        <v>http://www.facebook.com/urbangrowerscollective/</v>
      </c>
      <c r="Q19" s="3" t="str">
        <f>IFERROR(__xludf.DUMMYFUNCTION("""COMPUTED_VALUE"""),"Chicago")</f>
        <v>Chicago</v>
      </c>
      <c r="R19" s="3" t="str">
        <f>IFERROR(__xludf.DUMMYFUNCTION("""COMPUTED_VALUE"""),"Mobile Farmers Market is stocked with UGC farm produce, partners’ produce and value added goods, and supplemented with wholesale produce. FMMM stops at partner site locations throughout the week and for community health interventions to improve overall co"&amp;"mmunity health through food access, recipes and nutrition, and awareness of food systems
For more information about where the market will be, see our schedule at 
https://www.urbangrowerscollective.org/fresh-moves-mobile-market#schedule ")</f>
        <v>Mobile Farmers Market is stocked with UGC farm produce, partners’ produce and value added goods, and supplemented with wholesale produce. FMMM stops at partner site locations throughout the week and for community health interventions to improve overall community health through food access, recipes and nutrition, and awareness of food systems
For more information about where the market will be, see our schedule at 
https://www.urbangrowerscollective.org/fresh-moves-mobile-market#schedule </v>
      </c>
    </row>
    <row r="20">
      <c r="A20" s="3" t="str">
        <f>IFERROR(__xludf.DUMMYFUNCTION("""COMPUTED_VALUE"""),"Green City Market - Lincoln Park")</f>
        <v>Green City Market - Lincoln Park</v>
      </c>
      <c r="B20" s="3" t="str">
        <f>IFERROR(__xludf.DUMMYFUNCTION("""COMPUTED_VALUE"""),"Farmers Market")</f>
        <v>Farmers Market</v>
      </c>
      <c r="C20" s="3" t="str">
        <f>IFERROR(__xludf.DUMMYFUNCTION("""COMPUTED_VALUE"""),"41.91601672524698, -87.63417174497974")</f>
        <v>41.91601672524698, -87.63417174497974</v>
      </c>
      <c r="D20" s="3" t="str">
        <f>IFERROR(__xludf.DUMMYFUNCTION("""COMPUTED_VALUE"""),"1817 N Clark St")</f>
        <v>1817 N Clark St</v>
      </c>
      <c r="E20" s="3"/>
      <c r="F20" s="3" t="str">
        <f>IFERROR(__xludf.DUMMYFUNCTION("""COMPUTED_VALUE"""),"Chicago")</f>
        <v>Chicago</v>
      </c>
      <c r="G20" s="3" t="str">
        <f>IFERROR(__xludf.DUMMYFUNCTION("""COMPUTED_VALUE"""),"IL")</f>
        <v>IL</v>
      </c>
      <c r="H20" s="4">
        <f>IFERROR(__xludf.DUMMYFUNCTION("""COMPUTED_VALUE"""),60614.0)</f>
        <v>60614</v>
      </c>
      <c r="I20" s="5">
        <f>IFERROR(__xludf.DUMMYFUNCTION("""COMPUTED_VALUE"""),45752.0)</f>
        <v>45752</v>
      </c>
      <c r="J20" s="7">
        <f>IFERROR(__xludf.DUMMYFUNCTION("""COMPUTED_VALUE"""),45983.0)</f>
        <v>45983</v>
      </c>
      <c r="K20" s="3" t="str">
        <f>IFERROR(__xludf.DUMMYFUNCTION("""COMPUTED_VALUE"""),"Wednesday, Saturday")</f>
        <v>Wednesday, Saturday</v>
      </c>
      <c r="L20" s="3" t="str">
        <f>IFERROR(__xludf.DUMMYFUNCTION("""COMPUTED_VALUE"""),"07:00 AM - 01:00 PM   07:00 AM - 01:00 PM")</f>
        <v>07:00 AM - 01:00 PM   07:00 AM - 01:00 PM</v>
      </c>
      <c r="M20" s="3" t="str">
        <f>IFERROR(__xludf.DUMMYFUNCTION("""COMPUTED_VALUE"""),"Weekly")</f>
        <v>Weekly</v>
      </c>
      <c r="N20" s="6" t="str">
        <f>IFERROR(__xludf.DUMMYFUNCTION("""COMPUTED_VALUE"""),"http://greencitymarket.org")</f>
        <v>http://greencitymarket.org</v>
      </c>
      <c r="O20" s="6" t="str">
        <f>IFERROR(__xludf.DUMMYFUNCTION("""COMPUTED_VALUE"""),"http://www.instagram.com/greencitymarket")</f>
        <v>http://www.instagram.com/greencitymarket</v>
      </c>
      <c r="P20" s="6" t="str">
        <f>IFERROR(__xludf.DUMMYFUNCTION("""COMPUTED_VALUE"""),"http://www.facebook.com/greencitymarket")</f>
        <v>http://www.facebook.com/greencitymarket</v>
      </c>
      <c r="Q20" s="3" t="str">
        <f>IFERROR(__xludf.DUMMYFUNCTION("""COMPUTED_VALUE"""),"Chicago")</f>
        <v>Chicago</v>
      </c>
      <c r="R20" s="3"/>
    </row>
    <row r="21">
      <c r="A21" s="3" t="str">
        <f>IFERROR(__xludf.DUMMYFUNCTION("""COMPUTED_VALUE"""),"Green City Market - West Loop")</f>
        <v>Green City Market - West Loop</v>
      </c>
      <c r="B21" s="3" t="str">
        <f>IFERROR(__xludf.DUMMYFUNCTION("""COMPUTED_VALUE"""),"Farmers Market")</f>
        <v>Farmers Market</v>
      </c>
      <c r="C21" s="3" t="str">
        <f>IFERROR(__xludf.DUMMYFUNCTION("""COMPUTED_VALUE"""),"41.88002979032797, -87.65063888149106")</f>
        <v>41.88002979032797, -87.65063888149106</v>
      </c>
      <c r="D21" s="3" t="str">
        <f>IFERROR(__xludf.DUMMYFUNCTION("""COMPUTED_VALUE"""),"115 S Sangamon St")</f>
        <v>115 S Sangamon St</v>
      </c>
      <c r="E21" s="3"/>
      <c r="F21" s="3" t="str">
        <f>IFERROR(__xludf.DUMMYFUNCTION("""COMPUTED_VALUE"""),"Chicago")</f>
        <v>Chicago</v>
      </c>
      <c r="G21" s="3" t="str">
        <f>IFERROR(__xludf.DUMMYFUNCTION("""COMPUTED_VALUE"""),"IL")</f>
        <v>IL</v>
      </c>
      <c r="H21" s="4">
        <f>IFERROR(__xludf.DUMMYFUNCTION("""COMPUTED_VALUE"""),60607.0)</f>
        <v>60607</v>
      </c>
      <c r="I21" s="5">
        <f>IFERROR(__xludf.DUMMYFUNCTION("""COMPUTED_VALUE"""),45780.0)</f>
        <v>45780</v>
      </c>
      <c r="J21" s="7">
        <f>IFERROR(__xludf.DUMMYFUNCTION("""COMPUTED_VALUE"""),45983.0)</f>
        <v>45983</v>
      </c>
      <c r="K21" s="3" t="str">
        <f>IFERROR(__xludf.DUMMYFUNCTION("""COMPUTED_VALUE"""),"Saturday")</f>
        <v>Saturday</v>
      </c>
      <c r="L21" s="3" t="str">
        <f>IFERROR(__xludf.DUMMYFUNCTION("""COMPUTED_VALUE"""),"08:00 AM - 01:00 PM")</f>
        <v>08:00 AM - 01:00 PM</v>
      </c>
      <c r="M21" s="3" t="str">
        <f>IFERROR(__xludf.DUMMYFUNCTION("""COMPUTED_VALUE"""),"Weekly")</f>
        <v>Weekly</v>
      </c>
      <c r="N21" s="6" t="str">
        <f>IFERROR(__xludf.DUMMYFUNCTION("""COMPUTED_VALUE"""),"http://greencitymarket.org")</f>
        <v>http://greencitymarket.org</v>
      </c>
      <c r="O21" s="6" t="str">
        <f>IFERROR(__xludf.DUMMYFUNCTION("""COMPUTED_VALUE"""),"http://www.instagram.com/greencitymarket")</f>
        <v>http://www.instagram.com/greencitymarket</v>
      </c>
      <c r="P21" s="6" t="str">
        <f>IFERROR(__xludf.DUMMYFUNCTION("""COMPUTED_VALUE"""),"http://www.facebook.com/greencitymarket")</f>
        <v>http://www.facebook.com/greencitymarket</v>
      </c>
      <c r="Q21" s="3" t="str">
        <f>IFERROR(__xludf.DUMMYFUNCTION("""COMPUTED_VALUE"""),"Chicago")</f>
        <v>Chicago</v>
      </c>
      <c r="R21" s="3"/>
    </row>
    <row r="22">
      <c r="A22" s="3" t="str">
        <f>IFERROR(__xludf.DUMMYFUNCTION("""COMPUTED_VALUE"""),"Jo Daviess Local Foods")</f>
        <v>Jo Daviess Local Foods</v>
      </c>
      <c r="B22" s="3" t="str">
        <f>IFERROR(__xludf.DUMMYFUNCTION("""COMPUTED_VALUE"""),"Mobile Market")</f>
        <v>Mobile Market</v>
      </c>
      <c r="C22" s="3" t="str">
        <f>IFERROR(__xludf.DUMMYFUNCTION("""COMPUTED_VALUE"""),"42.256400086425934, -90.27972513218549")</f>
        <v>42.256400086425934, -90.27972513218549</v>
      </c>
      <c r="D22" s="3"/>
      <c r="E22" s="3"/>
      <c r="F22" s="3"/>
      <c r="G22" s="3"/>
      <c r="H22" s="4"/>
      <c r="I22" s="5">
        <f>IFERROR(__xludf.DUMMYFUNCTION("""COMPUTED_VALUE"""),45664.0)</f>
        <v>45664</v>
      </c>
      <c r="J22" s="7">
        <f>IFERROR(__xludf.DUMMYFUNCTION("""COMPUTED_VALUE"""),46014.0)</f>
        <v>46014</v>
      </c>
      <c r="K22" s="3" t="str">
        <f>IFERROR(__xludf.DUMMYFUNCTION("""COMPUTED_VALUE"""),"Tuesday")</f>
        <v>Tuesday</v>
      </c>
      <c r="L22" s="3"/>
      <c r="M22" s="3" t="str">
        <f>IFERROR(__xludf.DUMMYFUNCTION("""COMPUTED_VALUE"""),"Weekly")</f>
        <v>Weekly</v>
      </c>
      <c r="N22" s="6" t="str">
        <f>IFERROR(__xludf.DUMMYFUNCTION("""COMPUTED_VALUE"""),"http://www.jdlf.org")</f>
        <v>http://www.jdlf.org</v>
      </c>
      <c r="O22" s="6" t="str">
        <f>IFERROR(__xludf.DUMMYFUNCTION("""COMPUTED_VALUE"""),"http://www.instagram.com/jdlocalfoods")</f>
        <v>http://www.instagram.com/jdlocalfoods</v>
      </c>
      <c r="P22" s="6" t="str">
        <f>IFERROR(__xludf.DUMMYFUNCTION("""COMPUTED_VALUE"""),"http://www.facebook.com/groups/jdlfmarket/")</f>
        <v>http://www.facebook.com/groups/jdlfmarket/</v>
      </c>
      <c r="Q22" s="3" t="str">
        <f>IFERROR(__xludf.DUMMYFUNCTION("""COMPUTED_VALUE"""),"Northern IL")</f>
        <v>Northern IL</v>
      </c>
      <c r="R22" s="3" t="str">
        <f>IFERROR(__xludf.DUMMYFUNCTION("""COMPUTED_VALUE"""),"Customers order online, and then we deliver orders every Tuesday, year-round.")</f>
        <v>Customers order online, and then we deliver orders every Tuesday, year-round.</v>
      </c>
    </row>
    <row r="23">
      <c r="A23" s="3" t="str">
        <f>IFERROR(__xludf.DUMMYFUNCTION("""COMPUTED_VALUE"""),"LEAF Food Hub")</f>
        <v>LEAF Food Hub</v>
      </c>
      <c r="B23" s="3" t="str">
        <f>IFERROR(__xludf.DUMMYFUNCTION("""COMPUTED_VALUE"""),"Mobile Market")</f>
        <v>Mobile Market</v>
      </c>
      <c r="C23" s="3" t="str">
        <f>IFERROR(__xludf.DUMMYFUNCTION("""COMPUTED_VALUE"""),"37.72393463838875, -89.21215444201435")</f>
        <v>37.72393463838875, -89.21215444201435</v>
      </c>
      <c r="D23" s="3"/>
      <c r="E23" s="3"/>
      <c r="F23" s="3"/>
      <c r="G23" s="3"/>
      <c r="H23" s="4"/>
      <c r="I23" s="5">
        <f>IFERROR(__xludf.DUMMYFUNCTION("""COMPUTED_VALUE"""),45666.0)</f>
        <v>45666</v>
      </c>
      <c r="J23" s="7">
        <f>IFERROR(__xludf.DUMMYFUNCTION("""COMPUTED_VALUE"""),46009.0)</f>
        <v>46009</v>
      </c>
      <c r="K23" s="3" t="str">
        <f>IFERROR(__xludf.DUMMYFUNCTION("""COMPUTED_VALUE"""),"Friday-Tuesday")</f>
        <v>Friday-Tuesday</v>
      </c>
      <c r="L23" s="3"/>
      <c r="M23" s="3" t="str">
        <f>IFERROR(__xludf.DUMMYFUNCTION("""COMPUTED_VALUE"""),"Weekly")</f>
        <v>Weekly</v>
      </c>
      <c r="N23" s="6" t="str">
        <f>IFERROR(__xludf.DUMMYFUNCTION("""COMPUTED_VALUE"""),"http://www.leaffoodhub.com/")</f>
        <v>http://www.leaffoodhub.com/</v>
      </c>
      <c r="O23" s="6" t="str">
        <f>IFERROR(__xludf.DUMMYFUNCTION("""COMPUTED_VALUE"""),"http://www.instagram.com/leaffoodhub/")</f>
        <v>http://www.instagram.com/leaffoodhub/</v>
      </c>
      <c r="P23" s="6" t="str">
        <f>IFERROR(__xludf.DUMMYFUNCTION("""COMPUTED_VALUE"""),"http://www.facebook.com/LEAFFoodHub")</f>
        <v>http://www.facebook.com/LEAFFoodHub</v>
      </c>
      <c r="Q23" s="3" t="str">
        <f>IFERROR(__xludf.DUMMYFUNCTION("""COMPUTED_VALUE"""),"Southern IL")</f>
        <v>Southern IL</v>
      </c>
      <c r="R23" s="3" t="str">
        <f>IFERROR(__xludf.DUMMYFUNCTION("""COMPUTED_VALUE"""),"Open year round - check website for details
On-line ordering: Fridays 12pm - Tuesdays 8pm
Pick-up/delivery: Thursday afternoons")</f>
        <v>Open year round - check website for details
On-line ordering: Fridays 12pm - Tuesdays 8pm
Pick-up/delivery: Thursday afternoons</v>
      </c>
    </row>
    <row r="24">
      <c r="A24" s="3" t="str">
        <f>IFERROR(__xludf.DUMMYFUNCTION("""COMPUTED_VALUE"""),"Liberty Prairie Farm Store")</f>
        <v>Liberty Prairie Farm Store</v>
      </c>
      <c r="B24" s="3" t="str">
        <f>IFERROR(__xludf.DUMMYFUNCTION("""COMPUTED_VALUE"""),"Retail Space")</f>
        <v>Retail Space</v>
      </c>
      <c r="C24" s="3" t="str">
        <f>IFERROR(__xludf.DUMMYFUNCTION("""COMPUTED_VALUE"""),"42.34267779821924, -88.01531291985819")</f>
        <v>42.34267779821924, -88.01531291985819</v>
      </c>
      <c r="D24" s="3" t="str">
        <f>IFERROR(__xludf.DUMMYFUNCTION("""COMPUTED_VALUE"""),"970 Harris Rd")</f>
        <v>970 Harris Rd</v>
      </c>
      <c r="E24" s="3" t="str">
        <f>IFERROR(__xludf.DUMMYFUNCTION("""COMPUTED_VALUE"""),"Suite 1B")</f>
        <v>Suite 1B</v>
      </c>
      <c r="F24" s="3" t="str">
        <f>IFERROR(__xludf.DUMMYFUNCTION("""COMPUTED_VALUE"""),"Grayslake")</f>
        <v>Grayslake</v>
      </c>
      <c r="G24" s="3" t="str">
        <f>IFERROR(__xludf.DUMMYFUNCTION("""COMPUTED_VALUE"""),"IL")</f>
        <v>IL</v>
      </c>
      <c r="H24" s="4">
        <f>IFERROR(__xludf.DUMMYFUNCTION("""COMPUTED_VALUE"""),60030.0)</f>
        <v>60030</v>
      </c>
      <c r="I24" s="5">
        <f>IFERROR(__xludf.DUMMYFUNCTION("""COMPUTED_VALUE"""),45658.0)</f>
        <v>45658</v>
      </c>
      <c r="J24" s="7">
        <f>IFERROR(__xludf.DUMMYFUNCTION("""COMPUTED_VALUE"""),46143.0)</f>
        <v>46143</v>
      </c>
      <c r="K24" s="3" t="str">
        <f>IFERROR(__xludf.DUMMYFUNCTION("""COMPUTED_VALUE"""),"Wednesday, Thursday, Friday, Saturday, Sunday")</f>
        <v>Wednesday, Thursday, Friday, Saturday, Sunday</v>
      </c>
      <c r="L24" s="3" t="str">
        <f>IFERROR(__xludf.DUMMYFUNCTION("""COMPUTED_VALUE"""),"10:00 AM - 06:00 PM 10:00 AM - 06:00 PM 10:00 AM - 06:00 PM 10:00 AM - 06:00 PM 01:00 PM - 06:00 PM")</f>
        <v>10:00 AM - 06:00 PM 10:00 AM - 06:00 PM 10:00 AM - 06:00 PM 10:00 AM - 06:00 PM 01:00 PM - 06:00 PM</v>
      </c>
      <c r="M24" s="3" t="str">
        <f>IFERROR(__xludf.DUMMYFUNCTION("""COMPUTED_VALUE"""),"Weekly")</f>
        <v>Weekly</v>
      </c>
      <c r="N24" s="6" t="str">
        <f>IFERROR(__xludf.DUMMYFUNCTION("""COMPUTED_VALUE"""),"http://www.libertyprairie.org")</f>
        <v>http://www.libertyprairie.org</v>
      </c>
      <c r="O24" s="6" t="str">
        <f>IFERROR(__xludf.DUMMYFUNCTION("""COMPUTED_VALUE"""),"http://www.instagram.com/libertyprairie")</f>
        <v>http://www.instagram.com/libertyprairie</v>
      </c>
      <c r="P24" s="6" t="str">
        <f>IFERROR(__xludf.DUMMYFUNCTION("""COMPUTED_VALUE"""),"http://www.facebook.com/libertyprairieorg/")</f>
        <v>http://www.facebook.com/libertyprairieorg/</v>
      </c>
      <c r="Q24" s="3" t="str">
        <f>IFERROR(__xludf.DUMMYFUNCTION("""COMPUTED_VALUE"""),"Northern IL")</f>
        <v>Northern IL</v>
      </c>
      <c r="R24" s="3"/>
    </row>
    <row r="25">
      <c r="A25" s="3" t="str">
        <f>IFERROR(__xludf.DUMMYFUNCTION("""COMPUTED_VALUE"""),"Lincoln Square Farmers Market")</f>
        <v>Lincoln Square Farmers Market</v>
      </c>
      <c r="B25" s="3" t="str">
        <f>IFERROR(__xludf.DUMMYFUNCTION("""COMPUTED_VALUE"""),"Farmers Market")</f>
        <v>Farmers Market</v>
      </c>
      <c r="C25" s="3" t="str">
        <f>IFERROR(__xludf.DUMMYFUNCTION("""COMPUTED_VALUE"""),"41.96399618517147, -87.68500763544841")</f>
        <v>41.96399618517147, -87.68500763544841</v>
      </c>
      <c r="D25" s="3" t="str">
        <f>IFERROR(__xludf.DUMMYFUNCTION("""COMPUTED_VALUE"""),"4513 N Lincoln Ave")</f>
        <v>4513 N Lincoln Ave</v>
      </c>
      <c r="E25" s="3"/>
      <c r="F25" s="3" t="str">
        <f>IFERROR(__xludf.DUMMYFUNCTION("""COMPUTED_VALUE"""),"Chicago")</f>
        <v>Chicago</v>
      </c>
      <c r="G25" s="3" t="str">
        <f>IFERROR(__xludf.DUMMYFUNCTION("""COMPUTED_VALUE"""),"IL")</f>
        <v>IL</v>
      </c>
      <c r="H25" s="4">
        <f>IFERROR(__xludf.DUMMYFUNCTION("""COMPUTED_VALUE"""),60625.0)</f>
        <v>60625</v>
      </c>
      <c r="I25" s="5">
        <f>IFERROR(__xludf.DUMMYFUNCTION("""COMPUTED_VALUE"""),45778.0)</f>
        <v>45778</v>
      </c>
      <c r="J25" s="7">
        <f>IFERROR(__xludf.DUMMYFUNCTION("""COMPUTED_VALUE"""),45979.0)</f>
        <v>45979</v>
      </c>
      <c r="K25" s="3" t="str">
        <f>IFERROR(__xludf.DUMMYFUNCTION("""COMPUTED_VALUE"""),"Tuesday, Thursday")</f>
        <v>Tuesday, Thursday</v>
      </c>
      <c r="L25" s="3" t="str">
        <f>IFERROR(__xludf.DUMMYFUNCTION("""COMPUTED_VALUE"""),"07:00 AM - 12:00 PM  03:00 PM - 07:00 PM")</f>
        <v>07:00 AM - 12:00 PM  03:00 PM - 07:00 PM</v>
      </c>
      <c r="M25" s="3" t="str">
        <f>IFERROR(__xludf.DUMMYFUNCTION("""COMPUTED_VALUE"""),"Weekly")</f>
        <v>Weekly</v>
      </c>
      <c r="N25" s="6" t="str">
        <f>IFERROR(__xludf.DUMMYFUNCTION("""COMPUTED_VALUE"""),"http://www.lincolnsquare.org/farmers-market")</f>
        <v>http://www.lincolnsquare.org/farmers-market</v>
      </c>
      <c r="O25" s="6" t="str">
        <f>IFERROR(__xludf.DUMMYFUNCTION("""COMPUTED_VALUE"""),"http://www.instagram.com/lincolnsquarefarmersmarket/")</f>
        <v>http://www.instagram.com/lincolnsquarefarmersmarket/</v>
      </c>
      <c r="P25" s="6" t="str">
        <f>IFERROR(__xludf.DUMMYFUNCTION("""COMPUTED_VALUE"""),"http://www.facebook.com/lincolnsquarefarmersmarket")</f>
        <v>http://www.facebook.com/lincolnsquarefarmersmarket</v>
      </c>
      <c r="Q25" s="3" t="str">
        <f>IFERROR(__xludf.DUMMYFUNCTION("""COMPUTED_VALUE"""),"Chicago")</f>
        <v>Chicago</v>
      </c>
      <c r="R25" s="3"/>
    </row>
    <row r="26">
      <c r="A26" s="3" t="str">
        <f>IFERROR(__xludf.DUMMYFUNCTION("""COMPUTED_VALUE"""),"Logan Square Indoor Farmers Market")</f>
        <v>Logan Square Indoor Farmers Market</v>
      </c>
      <c r="B26" s="3" t="str">
        <f>IFERROR(__xludf.DUMMYFUNCTION("""COMPUTED_VALUE"""),"Winter Market")</f>
        <v>Winter Market</v>
      </c>
      <c r="C26" s="3" t="str">
        <f>IFERROR(__xludf.DUMMYFUNCTION("""COMPUTED_VALUE"""),"41.93229620256962, -87.7127668619889")</f>
        <v>41.93229620256962, -87.7127668619889</v>
      </c>
      <c r="D26" s="3" t="str">
        <f>IFERROR(__xludf.DUMMYFUNCTION("""COMPUTED_VALUE"""),"2800 N Milwaukee Ave")</f>
        <v>2800 N Milwaukee Ave</v>
      </c>
      <c r="E26" s="3" t="str">
        <f>IFERROR(__xludf.DUMMYFUNCTION("""COMPUTED_VALUE"""),"1st Floor")</f>
        <v>1st Floor</v>
      </c>
      <c r="F26" s="3" t="str">
        <f>IFERROR(__xludf.DUMMYFUNCTION("""COMPUTED_VALUE"""),"Chicago")</f>
        <v>Chicago</v>
      </c>
      <c r="G26" s="3" t="str">
        <f>IFERROR(__xludf.DUMMYFUNCTION("""COMPUTED_VALUE"""),"IL")</f>
        <v>IL</v>
      </c>
      <c r="H26" s="4">
        <f>IFERROR(__xludf.DUMMYFUNCTION("""COMPUTED_VALUE"""),60618.0)</f>
        <v>60618</v>
      </c>
      <c r="I26" s="5">
        <f>IFERROR(__xludf.DUMMYFUNCTION("""COMPUTED_VALUE"""),45990.0)</f>
        <v>45990</v>
      </c>
      <c r="J26" s="7">
        <f>IFERROR(__xludf.DUMMYFUNCTION("""COMPUTED_VALUE"""),46109.0)</f>
        <v>46109</v>
      </c>
      <c r="K26" s="3" t="str">
        <f>IFERROR(__xludf.DUMMYFUNCTION("""COMPUTED_VALUE"""),"Saturday")</f>
        <v>Saturday</v>
      </c>
      <c r="L26" s="3" t="str">
        <f>IFERROR(__xludf.DUMMYFUNCTION("""COMPUTED_VALUE"""),"10:00 AM - 02:00 PM")</f>
        <v>10:00 AM - 02:00 PM</v>
      </c>
      <c r="M26" s="3" t="str">
        <f>IFERROR(__xludf.DUMMYFUNCTION("""COMPUTED_VALUE"""),"Weekly")</f>
        <v>Weekly</v>
      </c>
      <c r="N26" s="6" t="str">
        <f>IFERROR(__xludf.DUMMYFUNCTION("""COMPUTED_VALUE"""),"http://www.loganchamber.org")</f>
        <v>http://www.loganchamber.org</v>
      </c>
      <c r="O26" s="6" t="str">
        <f>IFERROR(__xludf.DUMMYFUNCTION("""COMPUTED_VALUE"""),"http://www.instagram.com/lsfarmersmarket")</f>
        <v>http://www.instagram.com/lsfarmersmarket</v>
      </c>
      <c r="P26" s="6" t="str">
        <f>IFERROR(__xludf.DUMMYFUNCTION("""COMPUTED_VALUE"""),"http://www.facebook.com/LoganSquareFarmersMarket/about/")</f>
        <v>http://www.facebook.com/LoganSquareFarmersMarket/about/</v>
      </c>
      <c r="Q26" s="3" t="str">
        <f>IFERROR(__xludf.DUMMYFUNCTION("""COMPUTED_VALUE"""),"Chicago")</f>
        <v>Chicago</v>
      </c>
      <c r="R26" s="3"/>
    </row>
    <row r="27">
      <c r="A27" s="3" t="str">
        <f>IFERROR(__xludf.DUMMYFUNCTION("""COMPUTED_VALUE"""),"LUCSA")</f>
        <v>LUCSA</v>
      </c>
      <c r="B27" s="3" t="str">
        <f>IFERROR(__xludf.DUMMYFUNCTION("""COMPUTED_VALUE"""),"CSA")</f>
        <v>CSA</v>
      </c>
      <c r="C27" s="3" t="str">
        <f>IFERROR(__xludf.DUMMYFUNCTION("""COMPUTED_VALUE"""),"41.84510814019036, -87.68180169737579")</f>
        <v>41.84510814019036, -87.68180169737579</v>
      </c>
      <c r="D27" s="3"/>
      <c r="E27" s="3"/>
      <c r="F27" s="3"/>
      <c r="G27" s="3"/>
      <c r="H27" s="4"/>
      <c r="I27" s="5">
        <f>IFERROR(__xludf.DUMMYFUNCTION("""COMPUTED_VALUE"""),45658.0)</f>
        <v>45658</v>
      </c>
      <c r="J27" s="7">
        <f>IFERROR(__xludf.DUMMYFUNCTION("""COMPUTED_VALUE"""),46022.0)</f>
        <v>46022</v>
      </c>
      <c r="K27" s="3" t="str">
        <f>IFERROR(__xludf.DUMMYFUNCTION("""COMPUTED_VALUE"""),"Wednesday, Thursday, Friday")</f>
        <v>Wednesday, Thursday, Friday</v>
      </c>
      <c r="L27" s="3"/>
      <c r="M27" s="3" t="str">
        <f>IFERROR(__xludf.DUMMYFUNCTION("""COMPUTED_VALUE"""),"Weekly")</f>
        <v>Weekly</v>
      </c>
      <c r="N27" s="6" t="str">
        <f>IFERROR(__xludf.DUMMYFUNCTION("""COMPUTED_VALUE"""),"http://www.theurbancanopy.org/")</f>
        <v>http://www.theurbancanopy.org/</v>
      </c>
      <c r="O27" s="6" t="str">
        <f>IFERROR(__xludf.DUMMYFUNCTION("""COMPUTED_VALUE"""),"http://www.instagram.com/theurbancanopy/")</f>
        <v>http://www.instagram.com/theurbancanopy/</v>
      </c>
      <c r="P27" s="6" t="str">
        <f>IFERROR(__xludf.DUMMYFUNCTION("""COMPUTED_VALUE"""),"http://www.facebook.com/people/The-Urban-Canopy/61557158537143/#")</f>
        <v>http://www.facebook.com/people/The-Urban-Canopy/61557158537143/#</v>
      </c>
      <c r="Q27" s="3" t="str">
        <f>IFERROR(__xludf.DUMMYFUNCTION("""COMPUTED_VALUE"""),"Chicago")</f>
        <v>Chicago</v>
      </c>
      <c r="R27" s="3" t="str">
        <f>IFERROR(__xludf.DUMMYFUNCTION("""COMPUTED_VALUE"""),"LUCSA stands for Local Unified Community Supported Agriculture. We deliver a box of locally-sourced produce weekly throughout the year in the greater Chicagoland area.
LUCSA signup language: Sign-ups are now open year round! To sign up go to our website: "&amp;"theurbancanopy.org/csa Questions can be emailed to LUCSA@theurbancanopy.org")</f>
        <v>LUCSA stands for Local Unified Community Supported Agriculture. We deliver a box of locally-sourced produce weekly throughout the year in the greater Chicagoland area.
LUCSA signup language: Sign-ups are now open year round! To sign up go to our website: theurbancanopy.org/csa Questions can be emailed to LUCSA@theurbancanopy.org</v>
      </c>
    </row>
    <row r="28">
      <c r="A28" s="3" t="str">
        <f>IFERROR(__xludf.DUMMYFUNCTION("""COMPUTED_VALUE"""),"Macomb Winter Market")</f>
        <v>Macomb Winter Market</v>
      </c>
      <c r="B28" s="3" t="str">
        <f>IFERROR(__xludf.DUMMYFUNCTION("""COMPUTED_VALUE"""),"Winter Market")</f>
        <v>Winter Market</v>
      </c>
      <c r="C28" s="3" t="str">
        <f>IFERROR(__xludf.DUMMYFUNCTION("""COMPUTED_VALUE"""),"40.45738867717257, -90.6693424289735")</f>
        <v>40.45738867717257, -90.6693424289735</v>
      </c>
      <c r="D28" s="3" t="str">
        <f>IFERROR(__xludf.DUMMYFUNCTION("""COMPUTED_VALUE"""),"221 E Washington St")</f>
        <v>221 E Washington St</v>
      </c>
      <c r="E28" s="3"/>
      <c r="F28" s="3" t="str">
        <f>IFERROR(__xludf.DUMMYFUNCTION("""COMPUTED_VALUE"""),"Macomb")</f>
        <v>Macomb</v>
      </c>
      <c r="G28" s="3" t="str">
        <f>IFERROR(__xludf.DUMMYFUNCTION("""COMPUTED_VALUE"""),"IL")</f>
        <v>IL</v>
      </c>
      <c r="H28" s="4">
        <f>IFERROR(__xludf.DUMMYFUNCTION("""COMPUTED_VALUE"""),61455.0)</f>
        <v>61455</v>
      </c>
      <c r="I28" s="5">
        <f>IFERROR(__xludf.DUMMYFUNCTION("""COMPUTED_VALUE"""),45969.0)</f>
        <v>45969</v>
      </c>
      <c r="J28" s="7">
        <f>IFERROR(__xludf.DUMMYFUNCTION("""COMPUTED_VALUE"""),46123.0)</f>
        <v>46123</v>
      </c>
      <c r="K28" s="3" t="str">
        <f>IFERROR(__xludf.DUMMYFUNCTION("""COMPUTED_VALUE"""),"Saturday")</f>
        <v>Saturday</v>
      </c>
      <c r="L28" s="3" t="str">
        <f>IFERROR(__xludf.DUMMYFUNCTION("""COMPUTED_VALUE"""),"08:30 AM - 12:00 PM")</f>
        <v>08:30 AM - 12:00 PM</v>
      </c>
      <c r="M28" s="3" t="str">
        <f>IFERROR(__xludf.DUMMYFUNCTION("""COMPUTED_VALUE"""),"Other")</f>
        <v>Other</v>
      </c>
      <c r="N28" s="6" t="str">
        <f>IFERROR(__xludf.DUMMYFUNCTION("""COMPUTED_VALUE"""),"http://www.prairiehillsrcd.org/macomb-farmers-market.html")</f>
        <v>http://www.prairiehillsrcd.org/macomb-farmers-market.html</v>
      </c>
      <c r="O28" s="6" t="str">
        <f>IFERROR(__xludf.DUMMYFUNCTION("""COMPUTED_VALUE"""),"http://www.instagram.com/macombilfarmersmarket/")</f>
        <v>http://www.instagram.com/macombilfarmersmarket/</v>
      </c>
      <c r="P28" s="6" t="str">
        <f>IFERROR(__xludf.DUMMYFUNCTION("""COMPUTED_VALUE"""),"http://www.facebook.com/MacombFarmersMarket")</f>
        <v>http://www.facebook.com/MacombFarmersMarket</v>
      </c>
      <c r="Q28" s="3" t="str">
        <f>IFERROR(__xludf.DUMMYFUNCTION("""COMPUTED_VALUE"""),"Central IL")</f>
        <v>Central IL</v>
      </c>
      <c r="R28" s="3" t="str">
        <f>IFERROR(__xludf.DUMMYFUNCTION("""COMPUTED_VALUE"""),"Nov 22 | Dec 13 | Jan 17 | Feb 7 | Mar 7 | Mar 28")</f>
        <v>Nov 22 | Dec 13 | Jan 17 | Feb 7 | Mar 7 | Mar 28</v>
      </c>
    </row>
    <row r="29">
      <c r="A29" s="3" t="str">
        <f>IFERROR(__xludf.DUMMYFUNCTION("""COMPUTED_VALUE"""),"Market 309 - Trewyn Park")</f>
        <v>Market 309 - Trewyn Park</v>
      </c>
      <c r="B29" s="3" t="str">
        <f>IFERROR(__xludf.DUMMYFUNCTION("""COMPUTED_VALUE"""),"Pop-up Market")</f>
        <v>Pop-up Market</v>
      </c>
      <c r="C29" s="3" t="str">
        <f>IFERROR(__xludf.DUMMYFUNCTION("""COMPUTED_VALUE"""),"40.66253891802083, -89.64116289228643")</f>
        <v>40.66253891802083, -89.64116289228643</v>
      </c>
      <c r="D29" s="3" t="str">
        <f>IFERROR(__xludf.DUMMYFUNCTION("""COMPUTED_VALUE"""),"2219 S Idaho St")</f>
        <v>2219 S Idaho St</v>
      </c>
      <c r="E29" s="3"/>
      <c r="F29" s="3" t="str">
        <f>IFERROR(__xludf.DUMMYFUNCTION("""COMPUTED_VALUE"""),"Peoria")</f>
        <v>Peoria</v>
      </c>
      <c r="G29" s="3" t="str">
        <f>IFERROR(__xludf.DUMMYFUNCTION("""COMPUTED_VALUE"""),"IL")</f>
        <v>IL</v>
      </c>
      <c r="H29" s="4">
        <f>IFERROR(__xludf.DUMMYFUNCTION("""COMPUTED_VALUE"""),61605.0)</f>
        <v>61605</v>
      </c>
      <c r="I29" s="5">
        <f>IFERROR(__xludf.DUMMYFUNCTION("""COMPUTED_VALUE"""),45658.0)</f>
        <v>45658</v>
      </c>
      <c r="J29" s="7">
        <f>IFERROR(__xludf.DUMMYFUNCTION("""COMPUTED_VALUE"""),46022.0)</f>
        <v>46022</v>
      </c>
      <c r="K29" s="3" t="str">
        <f>IFERROR(__xludf.DUMMYFUNCTION("""COMPUTED_VALUE"""),"Sunday")</f>
        <v>Sunday</v>
      </c>
      <c r="L29" s="3" t="str">
        <f>IFERROR(__xludf.DUMMYFUNCTION("""COMPUTED_VALUE"""),"11:30 AM - 01:00 PM")</f>
        <v>11:30 AM - 01:00 PM</v>
      </c>
      <c r="M29" s="3" t="str">
        <f>IFERROR(__xludf.DUMMYFUNCTION("""COMPUTED_VALUE"""),"Weekly")</f>
        <v>Weekly</v>
      </c>
      <c r="N29" s="6" t="str">
        <f>IFERROR(__xludf.DUMMYFUNCTION("""COMPUTED_VALUE"""),"http://www.peoriagrown.com/")</f>
        <v>http://www.peoriagrown.com/</v>
      </c>
      <c r="O29" s="6" t="str">
        <f>IFERROR(__xludf.DUMMYFUNCTION("""COMPUTED_VALUE"""),"http://www.instagram.com/peoriagrown/")</f>
        <v>http://www.instagram.com/peoriagrown/</v>
      </c>
      <c r="P29" s="6" t="str">
        <f>IFERROR(__xludf.DUMMYFUNCTION("""COMPUTED_VALUE"""),"http://www.facebook.com/peoriagrown")</f>
        <v>http://www.facebook.com/peoriagrown</v>
      </c>
      <c r="Q29" s="3" t="str">
        <f>IFERROR(__xludf.DUMMYFUNCTION("""COMPUTED_VALUE"""),"Central IL")</f>
        <v>Central IL</v>
      </c>
      <c r="R29" s="3"/>
    </row>
    <row r="30">
      <c r="A30" s="3" t="str">
        <f>IFERROR(__xludf.DUMMYFUNCTION("""COMPUTED_VALUE"""),"Outdoor Land of Goshen Community Winter Market")</f>
        <v>Outdoor Land of Goshen Community Winter Market</v>
      </c>
      <c r="B30" s="3" t="str">
        <f>IFERROR(__xludf.DUMMYFUNCTION("""COMPUTED_VALUE"""),"Winter Market")</f>
        <v>Winter Market</v>
      </c>
      <c r="C30" s="3" t="str">
        <f>IFERROR(__xludf.DUMMYFUNCTION("""COMPUTED_VALUE"""),"38.812652329954716, -89.95706717414012")</f>
        <v>38.812652329954716, -89.95706717414012</v>
      </c>
      <c r="D30" s="3" t="str">
        <f>IFERROR(__xludf.DUMMYFUNCTION("""COMPUTED_VALUE"""),"100 St Louis St")</f>
        <v>100 St Louis St</v>
      </c>
      <c r="E30" s="3"/>
      <c r="F30" s="3" t="str">
        <f>IFERROR(__xludf.DUMMYFUNCTION("""COMPUTED_VALUE"""),"Edwardsville")</f>
        <v>Edwardsville</v>
      </c>
      <c r="G30" s="3" t="str">
        <f>IFERROR(__xludf.DUMMYFUNCTION("""COMPUTED_VALUE"""),"IL")</f>
        <v>IL</v>
      </c>
      <c r="H30" s="4">
        <f>IFERROR(__xludf.DUMMYFUNCTION("""COMPUTED_VALUE"""),62025.0)</f>
        <v>62025</v>
      </c>
      <c r="I30" s="5">
        <f>IFERROR(__xludf.DUMMYFUNCTION("""COMPUTED_VALUE"""),45976.0)</f>
        <v>45976</v>
      </c>
      <c r="J30" s="7">
        <f>IFERROR(__xludf.DUMMYFUNCTION("""COMPUTED_VALUE"""),46130.0)</f>
        <v>46130</v>
      </c>
      <c r="K30" s="3" t="str">
        <f>IFERROR(__xludf.DUMMYFUNCTION("""COMPUTED_VALUE"""),"Saturday")</f>
        <v>Saturday</v>
      </c>
      <c r="L30" s="3" t="str">
        <f>IFERROR(__xludf.DUMMYFUNCTION("""COMPUTED_VALUE"""),"10:00 AM - 12:00 PM")</f>
        <v>10:00 AM - 12:00 PM</v>
      </c>
      <c r="M30" s="3" t="str">
        <f>IFERROR(__xludf.DUMMYFUNCTION("""COMPUTED_VALUE"""),"Monthly")</f>
        <v>Monthly</v>
      </c>
      <c r="N30" s="6" t="str">
        <f>IFERROR(__xludf.DUMMYFUNCTION("""COMPUTED_VALUE"""),"http://goshenmarket.org/")</f>
        <v>http://goshenmarket.org/</v>
      </c>
      <c r="O30" s="3"/>
      <c r="P30" s="6" t="str">
        <f>IFERROR(__xludf.DUMMYFUNCTION("""COMPUTED_VALUE"""),"http://www.facebook.com/goshenmarket/")</f>
        <v>http://www.facebook.com/goshenmarket/</v>
      </c>
      <c r="Q30" s="3" t="str">
        <f>IFERROR(__xludf.DUMMYFUNCTION("""COMPUTED_VALUE"""),"Southern IL")</f>
        <v>Southern IL</v>
      </c>
      <c r="R30" s="3" t="str">
        <f>IFERROR(__xludf.DUMMYFUNCTION("""COMPUTED_VALUE"""),"3rd Saturday of the month: 
Nov 16 | Dec 21 | Jan 18 | Feb 15 | Mar 15 | Apr 19")</f>
        <v>3rd Saturday of the month: 
Nov 16 | Dec 21 | Jan 18 | Feb 15 | Mar 15 | Apr 19</v>
      </c>
    </row>
    <row r="31">
      <c r="A31" s="3" t="str">
        <f>IFERROR(__xludf.DUMMYFUNCTION("""COMPUTED_VALUE"""),"Plant Chicago Indoor Firehouse Market")</f>
        <v>Plant Chicago Indoor Firehouse Market</v>
      </c>
      <c r="B31" s="3" t="str">
        <f>IFERROR(__xludf.DUMMYFUNCTION("""COMPUTED_VALUE"""),"Retail Space")</f>
        <v>Retail Space</v>
      </c>
      <c r="C31" s="3" t="str">
        <f>IFERROR(__xludf.DUMMYFUNCTION("""COMPUTED_VALUE"""),"41.81250791583842, -87.6659289903483")</f>
        <v>41.81250791583842, -87.6659289903483</v>
      </c>
      <c r="D31" s="3" t="str">
        <f>IFERROR(__xludf.DUMMYFUNCTION("""COMPUTED_VALUE"""),"4459 S Marshfield Ave")</f>
        <v>4459 S Marshfield Ave</v>
      </c>
      <c r="E31" s="3"/>
      <c r="F31" s="3" t="str">
        <f>IFERROR(__xludf.DUMMYFUNCTION("""COMPUTED_VALUE"""),"Chicago")</f>
        <v>Chicago</v>
      </c>
      <c r="G31" s="3" t="str">
        <f>IFERROR(__xludf.DUMMYFUNCTION("""COMPUTED_VALUE"""),"IL")</f>
        <v>IL</v>
      </c>
      <c r="H31" s="4">
        <f>IFERROR(__xludf.DUMMYFUNCTION("""COMPUTED_VALUE"""),60609.0)</f>
        <v>60609</v>
      </c>
      <c r="I31" s="5">
        <f>IFERROR(__xludf.DUMMYFUNCTION("""COMPUTED_VALUE"""),45660.0)</f>
        <v>45660</v>
      </c>
      <c r="J31" s="5">
        <f>IFERROR(__xludf.DUMMYFUNCTION("""COMPUTED_VALUE"""),46011.0)</f>
        <v>46011</v>
      </c>
      <c r="K31" s="3" t="str">
        <f>IFERROR(__xludf.DUMMYFUNCTION("""COMPUTED_VALUE"""),"Friday, Saturday")</f>
        <v>Friday, Saturday</v>
      </c>
      <c r="L31" s="3" t="str">
        <f>IFERROR(__xludf.DUMMYFUNCTION("""COMPUTED_VALUE"""),"11:00 AM - 05:00 PM 11:00 AM - 05:00 PM")</f>
        <v>11:00 AM - 05:00 PM 11:00 AM - 05:00 PM</v>
      </c>
      <c r="M31" s="3" t="str">
        <f>IFERROR(__xludf.DUMMYFUNCTION("""COMPUTED_VALUE"""),"Weekly")</f>
        <v>Weekly</v>
      </c>
      <c r="N31" s="6" t="str">
        <f>IFERROR(__xludf.DUMMYFUNCTION("""COMPUTED_VALUE"""),"http://www.plantchicago.org")</f>
        <v>http://www.plantchicago.org</v>
      </c>
      <c r="O31" s="6" t="str">
        <f>IFERROR(__xludf.DUMMYFUNCTION("""COMPUTED_VALUE"""),"http://www.instagram.com/plantchicagonfp")</f>
        <v>http://www.instagram.com/plantchicagonfp</v>
      </c>
      <c r="P31" s="6" t="str">
        <f>IFERROR(__xludf.DUMMYFUNCTION("""COMPUTED_VALUE"""),"http://www.facebook.com/plantchicagonotforprofit")</f>
        <v>http://www.facebook.com/plantchicagonotforprofit</v>
      </c>
      <c r="Q31" s="3" t="str">
        <f>IFERROR(__xludf.DUMMYFUNCTION("""COMPUTED_VALUE"""),"Chicago")</f>
        <v>Chicago</v>
      </c>
      <c r="R31" s="3"/>
    </row>
    <row r="32">
      <c r="A32" s="3" t="str">
        <f>IFERROR(__xludf.DUMMYFUNCTION("""COMPUTED_VALUE"""),"QC Winter Farmers Market")</f>
        <v>QC Winter Farmers Market</v>
      </c>
      <c r="B32" s="3" t="str">
        <f>IFERROR(__xludf.DUMMYFUNCTION("""COMPUTED_VALUE"""),"Winter Market")</f>
        <v>Winter Market</v>
      </c>
      <c r="C32" s="3" t="str">
        <f>IFERROR(__xludf.DUMMYFUNCTION("""COMPUTED_VALUE"""),"41.5120213124832, -90.57718312105453")</f>
        <v>41.5120213124832, -90.57718312105453</v>
      </c>
      <c r="D32" s="3" t="str">
        <f>IFERROR(__xludf.DUMMYFUNCTION("""COMPUTED_VALUE"""),"1700 1st Ave")</f>
        <v>1700 1st Ave</v>
      </c>
      <c r="E32" s="3"/>
      <c r="F32" s="3" t="str">
        <f>IFERROR(__xludf.DUMMYFUNCTION("""COMPUTED_VALUE"""),"Rock Island")</f>
        <v>Rock Island</v>
      </c>
      <c r="G32" s="3" t="str">
        <f>IFERROR(__xludf.DUMMYFUNCTION("""COMPUTED_VALUE"""),"IL")</f>
        <v>IL</v>
      </c>
      <c r="H32" s="4">
        <f>IFERROR(__xludf.DUMMYFUNCTION("""COMPUTED_VALUE"""),61201.0)</f>
        <v>61201</v>
      </c>
      <c r="I32" s="5">
        <f>IFERROR(__xludf.DUMMYFUNCTION("""COMPUTED_VALUE"""),45962.0)</f>
        <v>45962</v>
      </c>
      <c r="J32" s="7">
        <f>IFERROR(__xludf.DUMMYFUNCTION("""COMPUTED_VALUE"""),46137.0)</f>
        <v>46137</v>
      </c>
      <c r="K32" s="3" t="str">
        <f>IFERROR(__xludf.DUMMYFUNCTION("""COMPUTED_VALUE"""),"Saturday")</f>
        <v>Saturday</v>
      </c>
      <c r="L32" s="3" t="str">
        <f>IFERROR(__xludf.DUMMYFUNCTION("""COMPUTED_VALUE"""),"10:00 AM - 12:00 PM")</f>
        <v>10:00 AM - 12:00 PM</v>
      </c>
      <c r="M32" s="3" t="str">
        <f>IFERROR(__xludf.DUMMYFUNCTION("""COMPUTED_VALUE"""),"Weekly")</f>
        <v>Weekly</v>
      </c>
      <c r="N32" s="6" t="str">
        <f>IFERROR(__xludf.DUMMYFUNCTION("""COMPUTED_VALUE"""),"http://www.qcfarmersmarket.online")</f>
        <v>http://www.qcfarmersmarket.online</v>
      </c>
      <c r="O32" s="6" t="str">
        <f>IFERROR(__xludf.DUMMYFUNCTION("""COMPUTED_VALUE"""),"http://www.instagram.com/qcfarmersmarket")</f>
        <v>http://www.instagram.com/qcfarmersmarket</v>
      </c>
      <c r="P32" s="6" t="str">
        <f>IFERROR(__xludf.DUMMYFUNCTION("""COMPUTED_VALUE"""),"http://www.facebook.com/qcfarmersmarket")</f>
        <v>http://www.facebook.com/qcfarmersmarket</v>
      </c>
      <c r="Q32" s="3" t="str">
        <f>IFERROR(__xludf.DUMMYFUNCTION("""COMPUTED_VALUE"""),"Northern IL")</f>
        <v>Northern IL</v>
      </c>
      <c r="R32" s="4"/>
    </row>
    <row r="33">
      <c r="A33" s="3" t="str">
        <f>IFERROR(__xludf.DUMMYFUNCTION("""COMPUTED_VALUE"""),"Richland Farmers Market")</f>
        <v>Richland Farmers Market</v>
      </c>
      <c r="B33" s="3" t="str">
        <f>IFERROR(__xludf.DUMMYFUNCTION("""COMPUTED_VALUE"""),"Farmers Market")</f>
        <v>Farmers Market</v>
      </c>
      <c r="C33" s="3" t="str">
        <f>IFERROR(__xludf.DUMMYFUNCTION("""COMPUTED_VALUE"""),"39.8838276159131, -88.89397868608775")</f>
        <v>39.8838276159131, -88.89397868608775</v>
      </c>
      <c r="D33" s="3" t="str">
        <f>IFERROR(__xludf.DUMMYFUNCTION("""COMPUTED_VALUE"""),"Michael D Andreas Building")</f>
        <v>Michael D Andreas Building</v>
      </c>
      <c r="E33" s="3" t="str">
        <f>IFERROR(__xludf.DUMMYFUNCTION("""COMPUTED_VALUE"""),"1 College Park")</f>
        <v>1 College Park</v>
      </c>
      <c r="F33" s="3" t="str">
        <f>IFERROR(__xludf.DUMMYFUNCTION("""COMPUTED_VALUE"""),"Decatur")</f>
        <v>Decatur</v>
      </c>
      <c r="G33" s="3" t="str">
        <f>IFERROR(__xludf.DUMMYFUNCTION("""COMPUTED_VALUE"""),"IL")</f>
        <v>IL</v>
      </c>
      <c r="H33" s="4">
        <f>IFERROR(__xludf.DUMMYFUNCTION("""COMPUTED_VALUE"""),62521.0)</f>
        <v>62521</v>
      </c>
      <c r="I33" s="5">
        <f>IFERROR(__xludf.DUMMYFUNCTION("""COMPUTED_VALUE"""),45824.0)</f>
        <v>45824</v>
      </c>
      <c r="J33" s="7">
        <f>IFERROR(__xludf.DUMMYFUNCTION("""COMPUTED_VALUE"""),45887.0)</f>
        <v>45887</v>
      </c>
      <c r="K33" s="3" t="str">
        <f>IFERROR(__xludf.DUMMYFUNCTION("""COMPUTED_VALUE"""),"Monday")</f>
        <v>Monday</v>
      </c>
      <c r="L33" s="3" t="str">
        <f>IFERROR(__xludf.DUMMYFUNCTION("""COMPUTED_VALUE"""),"04:00 PM - 06:00 PM")</f>
        <v>04:00 PM - 06:00 PM</v>
      </c>
      <c r="M33" s="3" t="str">
        <f>IFERROR(__xludf.DUMMYFUNCTION("""COMPUTED_VALUE"""),"Weekly")</f>
        <v>Weekly</v>
      </c>
      <c r="N33" s="3"/>
      <c r="O33" s="6" t="str">
        <f>IFERROR(__xludf.DUMMYFUNCTION("""COMPUTED_VALUE"""),"http://www.instagram.com/rcc_farms/")</f>
        <v>http://www.instagram.com/rcc_farms/</v>
      </c>
      <c r="P33" s="6" t="str">
        <f>IFERROR(__xludf.DUMMYFUNCTION("""COMPUTED_VALUE"""),"http://www.facebook.com/RichlandStudentFarms/")</f>
        <v>http://www.facebook.com/RichlandStudentFarms/</v>
      </c>
      <c r="Q33" s="3" t="str">
        <f>IFERROR(__xludf.DUMMYFUNCTION("""COMPUTED_VALUE"""),"Central IL")</f>
        <v>Central IL</v>
      </c>
      <c r="R33" s="3"/>
    </row>
    <row r="34">
      <c r="A34" s="3" t="str">
        <f>IFERROR(__xludf.DUMMYFUNCTION("""COMPUTED_VALUE"""),"Sola Gratia Farm")</f>
        <v>Sola Gratia Farm</v>
      </c>
      <c r="B34" s="3" t="str">
        <f>IFERROR(__xludf.DUMMYFUNCTION("""COMPUTED_VALUE"""),"Farm Stand")</f>
        <v>Farm Stand</v>
      </c>
      <c r="C34" s="3" t="str">
        <f>IFERROR(__xludf.DUMMYFUNCTION("""COMPUTED_VALUE"""),"40.08843425831317, -88.18993398943725")</f>
        <v>40.08843425831317, -88.18993398943725</v>
      </c>
      <c r="D34" s="3" t="str">
        <f>IFERROR(__xludf.DUMMYFUNCTION("""COMPUTED_VALUE"""),"2200 S Philo Rd")</f>
        <v>2200 S Philo Rd</v>
      </c>
      <c r="E34" s="3"/>
      <c r="F34" s="3" t="str">
        <f>IFERROR(__xludf.DUMMYFUNCTION("""COMPUTED_VALUE"""),"Urbana")</f>
        <v>Urbana</v>
      </c>
      <c r="G34" s="3" t="str">
        <f>IFERROR(__xludf.DUMMYFUNCTION("""COMPUTED_VALUE"""),"IL")</f>
        <v>IL</v>
      </c>
      <c r="H34" s="4">
        <f>IFERROR(__xludf.DUMMYFUNCTION("""COMPUTED_VALUE"""),61802.0)</f>
        <v>61802</v>
      </c>
      <c r="I34" s="5">
        <f>IFERROR(__xludf.DUMMYFUNCTION("""COMPUTED_VALUE"""),45820.0)</f>
        <v>45820</v>
      </c>
      <c r="J34" s="7">
        <f>IFERROR(__xludf.DUMMYFUNCTION("""COMPUTED_VALUE"""),45981.0)</f>
        <v>45981</v>
      </c>
      <c r="K34" s="3" t="str">
        <f>IFERROR(__xludf.DUMMYFUNCTION("""COMPUTED_VALUE"""),"Thursday")</f>
        <v>Thursday</v>
      </c>
      <c r="L34" s="3" t="str">
        <f>IFERROR(__xludf.DUMMYFUNCTION("""COMPUTED_VALUE"""),"03:00 PM - 06:00 PM")</f>
        <v>03:00 PM - 06:00 PM</v>
      </c>
      <c r="M34" s="3" t="str">
        <f>IFERROR(__xludf.DUMMYFUNCTION("""COMPUTED_VALUE"""),"Weekly")</f>
        <v>Weekly</v>
      </c>
      <c r="N34" s="6" t="str">
        <f>IFERROR(__xludf.DUMMYFUNCTION("""COMPUTED_VALUE"""),"http://www.solagratiacsa.com/")</f>
        <v>http://www.solagratiacsa.com/</v>
      </c>
      <c r="O34" s="6" t="str">
        <f>IFERROR(__xludf.DUMMYFUNCTION("""COMPUTED_VALUE"""),"http://www.instagram.com/solagratiafarm/")</f>
        <v>http://www.instagram.com/solagratiafarm/</v>
      </c>
      <c r="P34" s="6" t="str">
        <f>IFERROR(__xludf.DUMMYFUNCTION("""COMPUTED_VALUE"""),"http://www.facebook.com/solagratiafarm/")</f>
        <v>http://www.facebook.com/solagratiafarm/</v>
      </c>
      <c r="Q34" s="3" t="str">
        <f>IFERROR(__xludf.DUMMYFUNCTION("""COMPUTED_VALUE"""),"Central IL")</f>
        <v>Central IL</v>
      </c>
      <c r="R34" s="3" t="str">
        <f>IFERROR(__xludf.DUMMYFUNCTION("""COMPUTED_VALUE"""),"Pick ups Thursday")</f>
        <v>Pick ups Thursday</v>
      </c>
    </row>
    <row r="35">
      <c r="A35" s="3" t="str">
        <f>IFERROR(__xludf.DUMMYFUNCTION("""COMPUTED_VALUE"""),"Terripin Farms Winter")</f>
        <v>Terripin Farms Winter</v>
      </c>
      <c r="B35" s="3" t="str">
        <f>IFERROR(__xludf.DUMMYFUNCTION("""COMPUTED_VALUE"""),"Farm Stand")</f>
        <v>Farm Stand</v>
      </c>
      <c r="C35" s="3" t="str">
        <f>IFERROR(__xludf.DUMMYFUNCTION("""COMPUTED_VALUE"""),"39.97691072937544, -91.35824725073712")</f>
        <v>39.97691072937544, -91.35824725073712</v>
      </c>
      <c r="D35" s="3" t="str">
        <f>IFERROR(__xludf.DUMMYFUNCTION("""COMPUTED_VALUE"""),"3729 N 36th")</f>
        <v>3729 N 36th</v>
      </c>
      <c r="E35" s="3"/>
      <c r="F35" s="3" t="str">
        <f>IFERROR(__xludf.DUMMYFUNCTION("""COMPUTED_VALUE"""),"Quincy")</f>
        <v>Quincy</v>
      </c>
      <c r="G35" s="3" t="str">
        <f>IFERROR(__xludf.DUMMYFUNCTION("""COMPUTED_VALUE"""),"IL")</f>
        <v>IL</v>
      </c>
      <c r="H35" s="4">
        <f>IFERROR(__xludf.DUMMYFUNCTION("""COMPUTED_VALUE"""),62305.0)</f>
        <v>62305</v>
      </c>
      <c r="I35" s="5">
        <f>IFERROR(__xludf.DUMMYFUNCTION("""COMPUTED_VALUE"""),45962.0)</f>
        <v>45962</v>
      </c>
      <c r="J35" s="7">
        <f>IFERROR(__xludf.DUMMYFUNCTION("""COMPUTED_VALUE"""),46143.0)</f>
        <v>46143</v>
      </c>
      <c r="K35" s="3" t="str">
        <f>IFERROR(__xludf.DUMMYFUNCTION("""COMPUTED_VALUE"""),"Friday, Saturday, Sunday")</f>
        <v>Friday, Saturday, Sunday</v>
      </c>
      <c r="L35" s="3" t="str">
        <f>IFERROR(__xludf.DUMMYFUNCTION("""COMPUTED_VALUE"""),"10:00 AM - 05:00 PM 10:00 AM - 05:00 PM 10:00 AM - 04:00 PM")</f>
        <v>10:00 AM - 05:00 PM 10:00 AM - 05:00 PM 10:00 AM - 04:00 PM</v>
      </c>
      <c r="M35" s="3" t="str">
        <f>IFERROR(__xludf.DUMMYFUNCTION("""COMPUTED_VALUE"""),"Weekly")</f>
        <v>Weekly</v>
      </c>
      <c r="N35" s="6" t="str">
        <f>IFERROR(__xludf.DUMMYFUNCTION("""COMPUTED_VALUE"""),"http://www.terripinfarms.net")</f>
        <v>http://www.terripinfarms.net</v>
      </c>
      <c r="O35" s="3"/>
      <c r="P35" s="6" t="str">
        <f>IFERROR(__xludf.DUMMYFUNCTION("""COMPUTED_VALUE"""),"http://www.facebook.com/TerripinFarms")</f>
        <v>http://www.facebook.com/TerripinFarms</v>
      </c>
      <c r="Q35" s="3" t="str">
        <f>IFERROR(__xludf.DUMMYFUNCTION("""COMPUTED_VALUE"""),"Central IL")</f>
        <v>Central IL</v>
      </c>
      <c r="R35" s="3"/>
    </row>
    <row r="36">
      <c r="A36" s="3" t="str">
        <f>IFERROR(__xludf.DUMMYFUNCTION("""COMPUTED_VALUE"""),"Theodora Farms Farm Store")</f>
        <v>Theodora Farms Farm Store</v>
      </c>
      <c r="B36" s="3" t="str">
        <f>IFERROR(__xludf.DUMMYFUNCTION("""COMPUTED_VALUE"""),"Farm Stand")</f>
        <v>Farm Stand</v>
      </c>
      <c r="C36" s="3" t="str">
        <f>IFERROR(__xludf.DUMMYFUNCTION("""COMPUTED_VALUE"""),"38.94125095722424, -90.17911240348779")</f>
        <v>38.94125095722424, -90.17911240348779</v>
      </c>
      <c r="D36" s="3" t="str">
        <f>IFERROR(__xludf.DUMMYFUNCTION("""COMPUTED_VALUE"""),"4835 N Alby St")</f>
        <v>4835 N Alby St</v>
      </c>
      <c r="E36" s="3"/>
      <c r="F36" s="3" t="str">
        <f>IFERROR(__xludf.DUMMYFUNCTION("""COMPUTED_VALUE"""),"Godfrey")</f>
        <v>Godfrey</v>
      </c>
      <c r="G36" s="3" t="str">
        <f>IFERROR(__xludf.DUMMYFUNCTION("""COMPUTED_VALUE"""),"IL")</f>
        <v>IL</v>
      </c>
      <c r="H36" s="4">
        <f>IFERROR(__xludf.DUMMYFUNCTION("""COMPUTED_VALUE"""),62035.0)</f>
        <v>62035</v>
      </c>
      <c r="I36" s="5">
        <f>IFERROR(__xludf.DUMMYFUNCTION("""COMPUTED_VALUE"""),45782.0)</f>
        <v>45782</v>
      </c>
      <c r="J36" s="7">
        <f>IFERROR(__xludf.DUMMYFUNCTION("""COMPUTED_VALUE"""),45983.0)</f>
        <v>45983</v>
      </c>
      <c r="K36" s="3" t="str">
        <f>IFERROR(__xludf.DUMMYFUNCTION("""COMPUTED_VALUE"""),"Monday, Tuesday, Wednesday, Thursday, Friday, Saturday")</f>
        <v>Monday, Tuesday, Wednesday, Thursday, Friday, Saturday</v>
      </c>
      <c r="L36" s="3" t="str">
        <f>IFERROR(__xludf.DUMMYFUNCTION("""COMPUTED_VALUE"""),"10:00 AM - 06:00 PM 10:00 AM - 06:00 PM 10:00 AM - 06:00 PM 10:00 AM - 06:00 PM 10:00 AM - 06:00 PM 10:00 AM - 06:00 PM")</f>
        <v>10:00 AM - 06:00 PM 10:00 AM - 06:00 PM 10:00 AM - 06:00 PM 10:00 AM - 06:00 PM 10:00 AM - 06:00 PM 10:00 AM - 06:00 PM</v>
      </c>
      <c r="M36" s="3" t="str">
        <f>IFERROR(__xludf.DUMMYFUNCTION("""COMPUTED_VALUE"""),"Weekly")</f>
        <v>Weekly</v>
      </c>
      <c r="N36" s="6" t="str">
        <f>IFERROR(__xludf.DUMMYFUNCTION("""COMPUTED_VALUE"""),"http://www.theodorafarms.com")</f>
        <v>http://www.theodorafarms.com</v>
      </c>
      <c r="O36" s="6" t="str">
        <f>IFERROR(__xludf.DUMMYFUNCTION("""COMPUTED_VALUE"""),"http://www.instagram.com/TheodoraFarms")</f>
        <v>http://www.instagram.com/TheodoraFarms</v>
      </c>
      <c r="P36" s="6" t="str">
        <f>IFERROR(__xludf.DUMMYFUNCTION("""COMPUTED_VALUE"""),"http://www.facebook.com/theodorafarms")</f>
        <v>http://www.facebook.com/theodorafarms</v>
      </c>
      <c r="Q36" s="3" t="str">
        <f>IFERROR(__xludf.DUMMYFUNCTION("""COMPUTED_VALUE"""),"Southern IL")</f>
        <v>Southern IL</v>
      </c>
      <c r="R36" s="3"/>
    </row>
    <row r="37">
      <c r="A37" s="3" t="str">
        <f>IFERROR(__xludf.DUMMYFUNCTION("""COMPUTED_VALUE"""),"Top Box Foods")</f>
        <v>Top Box Foods</v>
      </c>
      <c r="B37" s="3" t="str">
        <f>IFERROR(__xludf.DUMMYFUNCTION("""COMPUTED_VALUE"""),"Grocery Delivery Service")</f>
        <v>Grocery Delivery Service</v>
      </c>
      <c r="C37" s="3" t="str">
        <f>IFERROR(__xludf.DUMMYFUNCTION("""COMPUTED_VALUE"""),"41.888593273031226, -87.6353961586826")</f>
        <v>41.888593273031226, -87.6353961586826</v>
      </c>
      <c r="D37" s="3"/>
      <c r="E37" s="3"/>
      <c r="F37" s="3"/>
      <c r="G37" s="3"/>
      <c r="H37" s="4"/>
      <c r="I37" s="5">
        <f>IFERROR(__xludf.DUMMYFUNCTION("""COMPUTED_VALUE"""),45658.0)</f>
        <v>45658</v>
      </c>
      <c r="J37" s="7">
        <f>IFERROR(__xludf.DUMMYFUNCTION("""COMPUTED_VALUE"""),46022.0)</f>
        <v>46022</v>
      </c>
      <c r="K37" s="3" t="str">
        <f>IFERROR(__xludf.DUMMYFUNCTION("""COMPUTED_VALUE"""),"Monday, Tuesday, Wednesday, Thursday, Friday")</f>
        <v>Monday, Tuesday, Wednesday, Thursday, Friday</v>
      </c>
      <c r="L37" s="3"/>
      <c r="M37" s="3" t="str">
        <f>IFERROR(__xludf.DUMMYFUNCTION("""COMPUTED_VALUE"""),"Weekly")</f>
        <v>Weekly</v>
      </c>
      <c r="N37" s="6" t="str">
        <f>IFERROR(__xludf.DUMMYFUNCTION("""COMPUTED_VALUE"""),"http://www.topboxfoods.com")</f>
        <v>http://www.topboxfoods.com</v>
      </c>
      <c r="O37" s="6" t="str">
        <f>IFERROR(__xludf.DUMMYFUNCTION("""COMPUTED_VALUE"""),"http://www.instagram.com/topboxfoods")</f>
        <v>http://www.instagram.com/topboxfoods</v>
      </c>
      <c r="P37" s="6" t="str">
        <f>IFERROR(__xludf.DUMMYFUNCTION("""COMPUTED_VALUE"""),"http://www.facebook.com/TopBoxFoods/")</f>
        <v>http://www.facebook.com/TopBoxFoods/</v>
      </c>
      <c r="Q37" s="3" t="str">
        <f>IFERROR(__xludf.DUMMYFUNCTION("""COMPUTED_VALUE"""),"Chicago")</f>
        <v>Chicago</v>
      </c>
      <c r="R37" s="3" t="str">
        <f>IFERROR(__xludf.DUMMYFUNCTION("""COMPUTED_VALUE"""),"How It Works for Customers: Link Match at Top Box Market
-Shop online at topboxfoods.com or with support from our Customer Service team at 312-527-7890. When you place your first order, you’ll create an account on our website where you can view your Link "&amp;"Match and order history. 
-Add the products you’d like to order to your cart. At checkout, click Link Match to redeem the amount you’d like to save on the order. When you redeem, your Link Match dollars become a code valid for any products with fresh frui"&amp;"ts or vegetables. Click “Discounts” to apply your new code to your order. Link Match can be redeemed in different amounts from $12.50 to $60, so you can use the right amount for the eligible products in your order.
-Your order will be delivered to your ho"&amp;"me on your chosen delivery day, so you can enjoy nutritious, fresh fruits and vegetables!")</f>
        <v>How It Works for Customers: Link Match at Top Box Market
-Shop online at topboxfoods.com or with support from our Customer Service team at 312-527-7890. When you place your first order, you’ll create an account on our website where you can view your Link Match and order history. 
-Add the products you’d like to order to your cart. At checkout, click Link Match to redeem the amount you’d like to save on the order. When you redeem, your Link Match dollars become a code valid for any products with fresh fruits or vegetables. Click “Discounts” to apply your new code to your order. Link Match can be redeemed in different amounts from $12.50 to $60, so you can use the right amount for the eligible products in your order.
-Your order will be delivered to your home on your chosen delivery day, so you can enjoy nutritious, fresh fruits and vegetables!</v>
      </c>
    </row>
    <row r="38">
      <c r="A38" s="3" t="str">
        <f>IFERROR(__xludf.DUMMYFUNCTION("""COMPUTED_VALUE"""),"Twin City Farmers Market")</f>
        <v>Twin City Farmers Market</v>
      </c>
      <c r="B38" s="3" t="str">
        <f>IFERROR(__xludf.DUMMYFUNCTION("""COMPUTED_VALUE"""),"Farmers Market")</f>
        <v>Farmers Market</v>
      </c>
      <c r="C38" s="3" t="str">
        <f>IFERROR(__xludf.DUMMYFUNCTION("""COMPUTED_VALUE"""),"41.78735746625957, -89.69701810336257")</f>
        <v>41.78735746625957, -89.69701810336257</v>
      </c>
      <c r="D38" s="3" t="str">
        <f>IFERROR(__xludf.DUMMYFUNCTION("""COMPUTED_VALUE"""),"106 Ave A")</f>
        <v>106 Ave A</v>
      </c>
      <c r="E38" s="3"/>
      <c r="F38" s="3" t="str">
        <f>IFERROR(__xludf.DUMMYFUNCTION("""COMPUTED_VALUE"""),"Sterling")</f>
        <v>Sterling</v>
      </c>
      <c r="G38" s="3" t="str">
        <f>IFERROR(__xludf.DUMMYFUNCTION("""COMPUTED_VALUE"""),"IL")</f>
        <v>IL</v>
      </c>
      <c r="H38" s="4">
        <f>IFERROR(__xludf.DUMMYFUNCTION("""COMPUTED_VALUE"""),61081.0)</f>
        <v>61081</v>
      </c>
      <c r="I38" s="5">
        <f>IFERROR(__xludf.DUMMYFUNCTION("""COMPUTED_VALUE"""),45658.0)</f>
        <v>45658</v>
      </c>
      <c r="J38" s="7">
        <f>IFERROR(__xludf.DUMMYFUNCTION("""COMPUTED_VALUE"""),46022.0)</f>
        <v>46022</v>
      </c>
      <c r="K38" s="3" t="str">
        <f>IFERROR(__xludf.DUMMYFUNCTION("""COMPUTED_VALUE"""),"Saturday")</f>
        <v>Saturday</v>
      </c>
      <c r="L38" s="3" t="str">
        <f>IFERROR(__xludf.DUMMYFUNCTION("""COMPUTED_VALUE"""),"08:00 AM - 12:00 PM")</f>
        <v>08:00 AM - 12:00 PM</v>
      </c>
      <c r="M38" s="3" t="str">
        <f>IFERROR(__xludf.DUMMYFUNCTION("""COMPUTED_VALUE"""),"Weekly")</f>
        <v>Weekly</v>
      </c>
      <c r="N38" s="6" t="str">
        <f>IFERROR(__xludf.DUMMYFUNCTION("""COMPUTED_VALUE"""),"https://twincityfarmersmarket.com/")</f>
        <v>https://twincityfarmersmarket.com/</v>
      </c>
      <c r="O38" s="6" t="str">
        <f>IFERROR(__xludf.DUMMYFUNCTION("""COMPUTED_VALUE"""),"http://www.instagram.com/twincitymarket/")</f>
        <v>http://www.instagram.com/twincitymarket/</v>
      </c>
      <c r="P38" s="6" t="str">
        <f>IFERROR(__xludf.DUMMYFUNCTION("""COMPUTED_VALUE"""),"http://www.facebook.com/twincityfarmersmarket")</f>
        <v>http://www.facebook.com/twincityfarmersmarket</v>
      </c>
      <c r="Q38" s="3" t="str">
        <f>IFERROR(__xludf.DUMMYFUNCTION("""COMPUTED_VALUE"""),"Northern IL")</f>
        <v>Northern IL</v>
      </c>
      <c r="R38" s="3"/>
    </row>
    <row r="39">
      <c r="A39" s="3" t="str">
        <f>IFERROR(__xludf.DUMMYFUNCTION("""COMPUTED_VALUE"""),"Urban Growers Collective Collective Supported Agriculture/CSA")</f>
        <v>Urban Growers Collective Collective Supported Agriculture/CSA</v>
      </c>
      <c r="B39" s="3" t="str">
        <f>IFERROR(__xludf.DUMMYFUNCTION("""COMPUTED_VALUE"""),"CSA")</f>
        <v>CSA</v>
      </c>
      <c r="C39" s="3" t="str">
        <f>IFERROR(__xludf.DUMMYFUNCTION("""COMPUTED_VALUE"""),"41.73371046001023, -87.54061954413822")</f>
        <v>41.73371046001023, -87.54061954413822</v>
      </c>
      <c r="D39" s="3"/>
      <c r="E39" s="3"/>
      <c r="F39" s="3"/>
      <c r="G39" s="3"/>
      <c r="H39" s="4"/>
      <c r="I39" s="5">
        <f>IFERROR(__xludf.DUMMYFUNCTION("""COMPUTED_VALUE"""),45759.0)</f>
        <v>45759</v>
      </c>
      <c r="J39" s="7">
        <f>IFERROR(__xludf.DUMMYFUNCTION("""COMPUTED_VALUE"""),45987.0)</f>
        <v>45987</v>
      </c>
      <c r="K39" s="3" t="str">
        <f>IFERROR(__xludf.DUMMYFUNCTION("""COMPUTED_VALUE"""),"Wednesday, Saturday")</f>
        <v>Wednesday, Saturday</v>
      </c>
      <c r="L39" s="3"/>
      <c r="M39" s="3" t="str">
        <f>IFERROR(__xludf.DUMMYFUNCTION("""COMPUTED_VALUE"""),"Weekly")</f>
        <v>Weekly</v>
      </c>
      <c r="N39" s="6" t="str">
        <f>IFERROR(__xludf.DUMMYFUNCTION("""COMPUTED_VALUE"""),"http://www.urbangrowerscollective.org/chicago-local-csa")</f>
        <v>http://www.urbangrowerscollective.org/chicago-local-csa</v>
      </c>
      <c r="O39" s="6" t="str">
        <f>IFERROR(__xludf.DUMMYFUNCTION("""COMPUTED_VALUE"""),"http://www.instagram.com/urbangrowerscollective/")</f>
        <v>http://www.instagram.com/urbangrowerscollective/</v>
      </c>
      <c r="P39" s="6" t="str">
        <f>IFERROR(__xludf.DUMMYFUNCTION("""COMPUTED_VALUE"""),"http://www.facebook.com/urbangrowerscollective/")</f>
        <v>http://www.facebook.com/urbangrowerscollective/</v>
      </c>
      <c r="Q39" s="3" t="str">
        <f>IFERROR(__xludf.DUMMYFUNCTION("""COMPUTED_VALUE"""),"Chicago")</f>
        <v>Chicago</v>
      </c>
      <c r="R39" s="3"/>
    </row>
    <row r="40">
      <c r="A40" s="3" t="str">
        <f>IFERROR(__xludf.DUMMYFUNCTION("""COMPUTED_VALUE"""),"Vine Street Market at O'Fallon Station")</f>
        <v>Vine Street Market at O'Fallon Station</v>
      </c>
      <c r="B40" s="3" t="str">
        <f>IFERROR(__xludf.DUMMYFUNCTION("""COMPUTED_VALUE"""),"Farmers Market")</f>
        <v>Farmers Market</v>
      </c>
      <c r="C40" s="3" t="str">
        <f>IFERROR(__xludf.DUMMYFUNCTION("""COMPUTED_VALUE"""),"38.59167905129432, -89.90904227857294")</f>
        <v>38.59167905129432, -89.90904227857294</v>
      </c>
      <c r="D40" s="3" t="str">
        <f>IFERROR(__xludf.DUMMYFUNCTION("""COMPUTED_VALUE"""),"212 E 1st St")</f>
        <v>212 E 1st St</v>
      </c>
      <c r="E40" s="3"/>
      <c r="F40" s="3" t="str">
        <f>IFERROR(__xludf.DUMMYFUNCTION("""COMPUTED_VALUE"""),"O'Fallon")</f>
        <v>O'Fallon</v>
      </c>
      <c r="G40" s="3" t="str">
        <f>IFERROR(__xludf.DUMMYFUNCTION("""COMPUTED_VALUE"""),"IL")</f>
        <v>IL</v>
      </c>
      <c r="H40" s="4">
        <f>IFERROR(__xludf.DUMMYFUNCTION("""COMPUTED_VALUE"""),62269.0)</f>
        <v>62269</v>
      </c>
      <c r="I40" s="5">
        <f>IFERROR(__xludf.DUMMYFUNCTION("""COMPUTED_VALUE"""),45717.0)</f>
        <v>45717</v>
      </c>
      <c r="J40" s="7">
        <f>IFERROR(__xludf.DUMMYFUNCTION("""COMPUTED_VALUE"""),45948.0)</f>
        <v>45948</v>
      </c>
      <c r="K40" s="3" t="str">
        <f>IFERROR(__xludf.DUMMYFUNCTION("""COMPUTED_VALUE"""),"Saturday")</f>
        <v>Saturday</v>
      </c>
      <c r="L40" s="3" t="str">
        <f>IFERROR(__xludf.DUMMYFUNCTION("""COMPUTED_VALUE"""),"08:00 AM - 12:00 PM")</f>
        <v>08:00 AM - 12:00 PM</v>
      </c>
      <c r="M40" s="3" t="str">
        <f>IFERROR(__xludf.DUMMYFUNCTION("""COMPUTED_VALUE"""),"Weekly")</f>
        <v>Weekly</v>
      </c>
      <c r="N40" s="6" t="str">
        <f>IFERROR(__xludf.DUMMYFUNCTION("""COMPUTED_VALUE"""),"https://ofallonparksandrec.com/vine-street-market/")</f>
        <v>https://ofallonparksandrec.com/vine-street-market/</v>
      </c>
      <c r="O40" s="6" t="str">
        <f>IFERROR(__xludf.DUMMYFUNCTION("""COMPUTED_VALUE"""),"http://www.instagram.com/vinestreetmarketofallon/")</f>
        <v>http://www.instagram.com/vinestreetmarketofallon/</v>
      </c>
      <c r="P40" s="6" t="str">
        <f>IFERROR(__xludf.DUMMYFUNCTION("""COMPUTED_VALUE"""),"http://www.facebook.com/vinestreetmarketofallon")</f>
        <v>http://www.facebook.com/vinestreetmarketofallon</v>
      </c>
      <c r="Q40" s="3" t="str">
        <f>IFERROR(__xludf.DUMMYFUNCTION("""COMPUTED_VALUE"""),"Southern IL")</f>
        <v>Southern IL</v>
      </c>
      <c r="R40" s="3" t="str">
        <f>IFERROR(__xludf.DUMMYFUNCTION("""COMPUTED_VALUE"""),"Holiday markets: Nov 22, Dec 13")</f>
        <v>Holiday markets: Nov 22, Dec 13</v>
      </c>
    </row>
    <row r="41">
      <c r="A41" s="3" t="str">
        <f>IFERROR(__xludf.DUMMYFUNCTION("""COMPUTED_VALUE"""),"Warsaw Mercantile")</f>
        <v>Warsaw Mercantile</v>
      </c>
      <c r="B41" s="3" t="str">
        <f>IFERROR(__xludf.DUMMYFUNCTION("""COMPUTED_VALUE"""),"Farmers Market")</f>
        <v>Farmers Market</v>
      </c>
      <c r="C41" s="3" t="str">
        <f>IFERROR(__xludf.DUMMYFUNCTION("""COMPUTED_VALUE"""),"40.359852552641335, -91.43650928808368")</f>
        <v>40.359852552641335, -91.43650928808368</v>
      </c>
      <c r="D41" s="3" t="str">
        <f>IFERROR(__xludf.DUMMYFUNCTION("""COMPUTED_VALUE"""),"412 Main St")</f>
        <v>412 Main St</v>
      </c>
      <c r="E41" s="3"/>
      <c r="F41" s="3" t="str">
        <f>IFERROR(__xludf.DUMMYFUNCTION("""COMPUTED_VALUE"""),"Warsaw")</f>
        <v>Warsaw</v>
      </c>
      <c r="G41" s="3" t="str">
        <f>IFERROR(__xludf.DUMMYFUNCTION("""COMPUTED_VALUE"""),"IL")</f>
        <v>IL</v>
      </c>
      <c r="H41" s="4">
        <f>IFERROR(__xludf.DUMMYFUNCTION("""COMPUTED_VALUE"""),62379.0)</f>
        <v>62379</v>
      </c>
      <c r="I41" s="5">
        <f>IFERROR(__xludf.DUMMYFUNCTION("""COMPUTED_VALUE"""),45778.0)</f>
        <v>45778</v>
      </c>
      <c r="J41" s="7">
        <f>IFERROR(__xludf.DUMMYFUNCTION("""COMPUTED_VALUE"""),46022.0)</f>
        <v>46022</v>
      </c>
      <c r="K41" s="3" t="str">
        <f>IFERROR(__xludf.DUMMYFUNCTION("""COMPUTED_VALUE"""),"Tuesday, Wednesday, Thursday, Friday, Saturday")</f>
        <v>Tuesday, Wednesday, Thursday, Friday, Saturday</v>
      </c>
      <c r="L41" s="3" t="str">
        <f>IFERROR(__xludf.DUMMYFUNCTION("""COMPUTED_VALUE"""),"10:00 AM - 06:00 PM 10:00 AM - 06:00 PM 10:00 AM - 06:00 PM 10:00 AM - 06:00 PM 10:00 AM - 03:00 PM")</f>
        <v>10:00 AM - 06:00 PM 10:00 AM - 06:00 PM 10:00 AM - 06:00 PM 10:00 AM - 06:00 PM 10:00 AM - 03:00 PM</v>
      </c>
      <c r="M41" s="3" t="str">
        <f>IFERROR(__xludf.DUMMYFUNCTION("""COMPUTED_VALUE"""),"Weekly")</f>
        <v>Weekly</v>
      </c>
      <c r="N41" s="3"/>
      <c r="O41" s="3"/>
      <c r="P41" s="6" t="str">
        <f>IFERROR(__xludf.DUMMYFUNCTION("""COMPUTED_VALUE"""),"http://www.facebook.com/WarsawMercantile")</f>
        <v>http://www.facebook.com/WarsawMercantile</v>
      </c>
      <c r="Q41" s="3" t="str">
        <f>IFERROR(__xludf.DUMMYFUNCTION("""COMPUTED_VALUE"""),"Central IL")</f>
        <v>Central IL</v>
      </c>
      <c r="R41" s="3"/>
    </row>
    <row r="42">
      <c r="A42" s="3" t="str">
        <f>IFERROR(__xludf.DUMMYFUNCTION("""COMPUTED_VALUE"""),"Woodstock Farmers Market - Winter")</f>
        <v>Woodstock Farmers Market - Winter</v>
      </c>
      <c r="B42" s="3" t="str">
        <f>IFERROR(__xludf.DUMMYFUNCTION("""COMPUTED_VALUE"""),"Winter Market")</f>
        <v>Winter Market</v>
      </c>
      <c r="C42" s="3" t="str">
        <f>IFERROR(__xludf.DUMMYFUNCTION("""COMPUTED_VALUE"""),"42.25663835540999, -88.47970550380667")</f>
        <v>42.25663835540999, -88.47970550380667</v>
      </c>
      <c r="D42" s="3" t="str">
        <f>IFERROR(__xludf.DUMMYFUNCTION("""COMPUTED_VALUE"""),"14510 IL-176")</f>
        <v>14510 IL-176</v>
      </c>
      <c r="E42" s="3"/>
      <c r="F42" s="3" t="str">
        <f>IFERROR(__xludf.DUMMYFUNCTION("""COMPUTED_VALUE"""),"Woodstock")</f>
        <v>Woodstock</v>
      </c>
      <c r="G42" s="3" t="str">
        <f>IFERROR(__xludf.DUMMYFUNCTION("""COMPUTED_VALUE"""),"IL")</f>
        <v>IL</v>
      </c>
      <c r="H42" s="4">
        <f>IFERROR(__xludf.DUMMYFUNCTION("""COMPUTED_VALUE"""),60098.0)</f>
        <v>60098</v>
      </c>
      <c r="I42" s="5">
        <f>IFERROR(__xludf.DUMMYFUNCTION("""COMPUTED_VALUE"""),45969.0)</f>
        <v>45969</v>
      </c>
      <c r="J42" s="7">
        <f>IFERROR(__xludf.DUMMYFUNCTION("""COMPUTED_VALUE"""),46137.0)</f>
        <v>46137</v>
      </c>
      <c r="K42" s="3" t="str">
        <f>IFERROR(__xludf.DUMMYFUNCTION("""COMPUTED_VALUE"""),"Saturday")</f>
        <v>Saturday</v>
      </c>
      <c r="L42" s="3" t="str">
        <f>IFERROR(__xludf.DUMMYFUNCTION("""COMPUTED_VALUE"""),"09:00 AM - 01:00 PM")</f>
        <v>09:00 AM - 01:00 PM</v>
      </c>
      <c r="M42" s="3" t="str">
        <f>IFERROR(__xludf.DUMMYFUNCTION("""COMPUTED_VALUE"""),"Every other week")</f>
        <v>Every other week</v>
      </c>
      <c r="N42" s="6" t="str">
        <f>IFERROR(__xludf.DUMMYFUNCTION("""COMPUTED_VALUE"""),"https://woodstockfarmersmarket.org/")</f>
        <v>https://woodstockfarmersmarket.org/</v>
      </c>
      <c r="O42" s="6" t="str">
        <f>IFERROR(__xludf.DUMMYFUNCTION("""COMPUTED_VALUE"""),"http://www.instagram.com/woodstockfarmersmkt")</f>
        <v>http://www.instagram.com/woodstockfarmersmkt</v>
      </c>
      <c r="P42" s="6" t="str">
        <f>IFERROR(__xludf.DUMMYFUNCTION("""COMPUTED_VALUE"""),"http://www.facebook.com/woodstockfarmersmarket")</f>
        <v>http://www.facebook.com/woodstockfarmersmarket</v>
      </c>
      <c r="Q42" s="3" t="str">
        <f>IFERROR(__xludf.DUMMYFUNCTION("""COMPUTED_VALUE"""),"Northern IL")</f>
        <v>Northern IL</v>
      </c>
      <c r="R42" s="3" t="str">
        <f>IFERROR(__xludf.DUMMYFUNCTION("""COMPUTED_VALUE"""),"Nov 8, 15, 22 | Dec 6, 13, 20 | Jan 3, 17, 31 | Feb 14, 28 | Mar 14 , 28 | Apr 11, 25")</f>
        <v>Nov 8, 15, 22 | Dec 6, 13, 20 | Jan 3, 17, 31 | Feb 14, 28 | Mar 14 , 28 | Apr 11, 25</v>
      </c>
    </row>
    <row r="43">
      <c r="A43" s="3" t="str">
        <f>IFERROR(__xludf.DUMMYFUNCTION("""COMPUTED_VALUE"""),"Z-Farm Stand")</f>
        <v>Z-Farm Stand</v>
      </c>
      <c r="B43" s="3" t="str">
        <f>IFERROR(__xludf.DUMMYFUNCTION("""COMPUTED_VALUE"""),"Farm Stand")</f>
        <v>Farm Stand</v>
      </c>
      <c r="C43" s="3" t="str">
        <f>IFERROR(__xludf.DUMMYFUNCTION("""COMPUTED_VALUE"""),"41.53533343695412, -87.58825240417386")</f>
        <v>41.53533343695412, -87.58825240417386</v>
      </c>
      <c r="D43" s="3" t="str">
        <f>IFERROR(__xludf.DUMMYFUNCTION("""COMPUTED_VALUE"""),"1001 Glenwood Dyer Rd")</f>
        <v>1001 Glenwood Dyer Rd</v>
      </c>
      <c r="E43" s="3"/>
      <c r="F43" s="3" t="str">
        <f>IFERROR(__xludf.DUMMYFUNCTION("""COMPUTED_VALUE"""),"Chicago Heights")</f>
        <v>Chicago Heights</v>
      </c>
      <c r="G43" s="3" t="str">
        <f>IFERROR(__xludf.DUMMYFUNCTION("""COMPUTED_VALUE"""),"IL")</f>
        <v>IL</v>
      </c>
      <c r="H43" s="4">
        <f>IFERROR(__xludf.DUMMYFUNCTION("""COMPUTED_VALUE"""),60411.0)</f>
        <v>60411</v>
      </c>
      <c r="I43" s="5">
        <f>IFERROR(__xludf.DUMMYFUNCTION("""COMPUTED_VALUE"""),45920.0)</f>
        <v>45920</v>
      </c>
      <c r="J43" s="7">
        <f>IFERROR(__xludf.DUMMYFUNCTION("""COMPUTED_VALUE"""),45984.0)</f>
        <v>45984</v>
      </c>
      <c r="K43" s="3" t="str">
        <f>IFERROR(__xludf.DUMMYFUNCTION("""COMPUTED_VALUE"""),"Saturday, Sunday")</f>
        <v>Saturday, Sunday</v>
      </c>
      <c r="L43" s="3" t="str">
        <f>IFERROR(__xludf.DUMMYFUNCTION("""COMPUTED_VALUE"""),"09:00 AM - 04:00 PM")</f>
        <v>09:00 AM - 04:00 PM</v>
      </c>
      <c r="M43" s="3" t="str">
        <f>IFERROR(__xludf.DUMMYFUNCTION("""COMPUTED_VALUE"""),"Weekly")</f>
        <v>Weekly</v>
      </c>
      <c r="N43" s="6" t="str">
        <f>IFERROR(__xludf.DUMMYFUNCTION("""COMPUTED_VALUE"""),"http://www.urbangrowerscollective.org/")</f>
        <v>http://www.urbangrowerscollective.org/</v>
      </c>
      <c r="O43" s="6" t="str">
        <f>IFERROR(__xludf.DUMMYFUNCTION("""COMPUTED_VALUE"""),"http://www.instagram.com/urbangrowerscollective/")</f>
        <v>http://www.instagram.com/urbangrowerscollective/</v>
      </c>
      <c r="P43" s="6" t="str">
        <f>IFERROR(__xludf.DUMMYFUNCTION("""COMPUTED_VALUE"""),"http://www.facebook.com/urbangrowerscollective/")</f>
        <v>http://www.facebook.com/urbangrowerscollective/</v>
      </c>
      <c r="Q43" s="3" t="str">
        <f>IFERROR(__xludf.DUMMYFUNCTION("""COMPUTED_VALUE"""),"Chicago Suburbs")</f>
        <v>Chicago Suburbs</v>
      </c>
      <c r="R43" s="3"/>
    </row>
    <row r="44">
      <c r="A44" s="3" t="str">
        <f>IFERROR(__xludf.DUMMYFUNCTION("""COMPUTED_VALUE"""),"Cermak Produce #19")</f>
        <v>Cermak Produce #19</v>
      </c>
      <c r="B44" s="3" t="str">
        <f>IFERROR(__xludf.DUMMYFUNCTION("""COMPUTED_VALUE"""),"Full-Service Supermarket")</f>
        <v>Full-Service Supermarket</v>
      </c>
      <c r="C44" s="3" t="str">
        <f>IFERROR(__xludf.DUMMYFUNCTION("""COMPUTED_VALUE"""),"41.90886015572821, -87.84556251917589")</f>
        <v>41.90886015572821, -87.84556251917589</v>
      </c>
      <c r="D44" s="3" t="str">
        <f>IFERROR(__xludf.DUMMYFUNCTION("""COMPUTED_VALUE"""),"950 W Winston Plaza")</f>
        <v>950 W Winston Plaza</v>
      </c>
      <c r="E44" s="3" t="str">
        <f>IFERROR(__xludf.DUMMYFUNCTION("""COMPUTED_VALUE"""),"")</f>
        <v/>
      </c>
      <c r="F44" s="3" t="str">
        <f>IFERROR(__xludf.DUMMYFUNCTION("""COMPUTED_VALUE"""),"Melrose Park")</f>
        <v>Melrose Park</v>
      </c>
      <c r="G44" s="3" t="str">
        <f>IFERROR(__xludf.DUMMYFUNCTION("""COMPUTED_VALUE"""),"IL")</f>
        <v>IL</v>
      </c>
      <c r="H44" s="4" t="str">
        <f>IFERROR(__xludf.DUMMYFUNCTION("""COMPUTED_VALUE"""),"60160")</f>
        <v>60160</v>
      </c>
      <c r="I44" s="4" t="str">
        <f>IFERROR(__xludf.DUMMYFUNCTION("""COMPUTED_VALUE"""),"12/1/2024")</f>
        <v>12/1/2024</v>
      </c>
      <c r="J44" s="3" t="str">
        <f>IFERROR(__xludf.DUMMYFUNCTION("""COMPUTED_VALUE"""),"")</f>
        <v/>
      </c>
      <c r="K44" s="3" t="str">
        <f>IFERROR(__xludf.DUMMYFUNCTION("""COMPUTED_VALUE"""),"Monday - Sunday")</f>
        <v>Monday - Sunday</v>
      </c>
      <c r="L44" s="3" t="str">
        <f>IFERROR(__xludf.DUMMYFUNCTION("""COMPUTED_VALUE"""),"07:00 AM - 09:00 PM")</f>
        <v>07:00 AM - 09:00 PM</v>
      </c>
      <c r="M44" s="3" t="str">
        <f>IFERROR(__xludf.DUMMYFUNCTION("""COMPUTED_VALUE"""),"")</f>
        <v/>
      </c>
      <c r="N44" s="6" t="str">
        <f>IFERROR(__xludf.DUMMYFUNCTION("""COMPUTED_VALUE"""),"https://www.cermakfreshmarket.com/")</f>
        <v>https://www.cermakfreshmarket.com/</v>
      </c>
      <c r="O44" s="3" t="str">
        <f>IFERROR(__xludf.DUMMYFUNCTION("""COMPUTED_VALUE"""),"")</f>
        <v/>
      </c>
      <c r="P44" s="3" t="str">
        <f>IFERROR(__xludf.DUMMYFUNCTION("""COMPUTED_VALUE"""),"")</f>
        <v/>
      </c>
      <c r="Q44" s="3" t="str">
        <f>IFERROR(__xludf.DUMMYFUNCTION("""COMPUTED_VALUE"""),"Chicago Suburbs")</f>
        <v>Chicago Suburbs</v>
      </c>
      <c r="R44" s="3" t="str">
        <f>IFERROR(__xludf.DUMMYFUNCTION("""COMPUTED_VALUE"""),"$5")</f>
        <v>$5</v>
      </c>
    </row>
    <row r="45">
      <c r="A45" s="3" t="str">
        <f>IFERROR(__xludf.DUMMYFUNCTION("""COMPUTED_VALUE"""),"Cermak Produce #5")</f>
        <v>Cermak Produce #5</v>
      </c>
      <c r="B45" s="3" t="str">
        <f>IFERROR(__xludf.DUMMYFUNCTION("""COMPUTED_VALUE"""),"Full-Service Supermarket")</f>
        <v>Full-Service Supermarket</v>
      </c>
      <c r="C45" s="3" t="str">
        <f>IFERROR(__xludf.DUMMYFUNCTION("""COMPUTED_VALUE"""),"41.832913120644484, -87.67605366151153")</f>
        <v>41.832913120644484, -87.67605366151153</v>
      </c>
      <c r="D45" s="3" t="str">
        <f>IFERROR(__xludf.DUMMYFUNCTION("""COMPUTED_VALUE"""),"3435 S Archer Ave")</f>
        <v>3435 S Archer Ave</v>
      </c>
      <c r="E45" s="3"/>
      <c r="F45" s="3" t="str">
        <f>IFERROR(__xludf.DUMMYFUNCTION("""COMPUTED_VALUE"""),"Chicago")</f>
        <v>Chicago</v>
      </c>
      <c r="G45" s="3" t="str">
        <f>IFERROR(__xludf.DUMMYFUNCTION("""COMPUTED_VALUE"""),"IL")</f>
        <v>IL</v>
      </c>
      <c r="H45" s="4">
        <f>IFERROR(__xludf.DUMMYFUNCTION("""COMPUTED_VALUE"""),60608.0)</f>
        <v>60608</v>
      </c>
      <c r="I45" s="8">
        <f>IFERROR(__xludf.DUMMYFUNCTION("""COMPUTED_VALUE"""),45603.0)</f>
        <v>45603</v>
      </c>
      <c r="J45" s="3"/>
      <c r="K45" s="3" t="str">
        <f>IFERROR(__xludf.DUMMYFUNCTION("""COMPUTED_VALUE"""),"Monday - Sunday")</f>
        <v>Monday - Sunday</v>
      </c>
      <c r="L45" s="3" t="str">
        <f>IFERROR(__xludf.DUMMYFUNCTION("""COMPUTED_VALUE"""),"07:00 AM - 09:00 PM")</f>
        <v>07:00 AM - 09:00 PM</v>
      </c>
      <c r="M45" s="3"/>
      <c r="N45" s="6" t="str">
        <f>IFERROR(__xludf.DUMMYFUNCTION("""COMPUTED_VALUE"""),"https://www.cermakfreshmarket.com/")</f>
        <v>https://www.cermakfreshmarket.com/</v>
      </c>
      <c r="O45" s="3"/>
      <c r="P45" s="3"/>
      <c r="Q45" s="3" t="str">
        <f>IFERROR(__xludf.DUMMYFUNCTION("""COMPUTED_VALUE"""),"Chicago")</f>
        <v>Chicago</v>
      </c>
      <c r="R45" s="3" t="str">
        <f>IFERROR(__xludf.DUMMYFUNCTION("""COMPUTED_VALUE"""),"$5")</f>
        <v>$5</v>
      </c>
    </row>
    <row r="46">
      <c r="A46" s="3" t="str">
        <f>IFERROR(__xludf.DUMMYFUNCTION("""COMPUTED_VALUE"""),"Cermak Produce #7")</f>
        <v>Cermak Produce #7</v>
      </c>
      <c r="B46" s="3" t="str">
        <f>IFERROR(__xludf.DUMMYFUNCTION("""COMPUTED_VALUE"""),"Full-Service Supermarket")</f>
        <v>Full-Service Supermarket</v>
      </c>
      <c r="C46" s="3" t="str">
        <f>IFERROR(__xludf.DUMMYFUNCTION("""COMPUTED_VALUE"""),"41.85383559706117, -87.66917353263975")</f>
        <v>41.85383559706117, -87.66917353263975</v>
      </c>
      <c r="D46" s="3" t="str">
        <f>IFERROR(__xludf.DUMMYFUNCTION("""COMPUTED_VALUE"""),"1711 W Cermak Rd")</f>
        <v>1711 W Cermak Rd</v>
      </c>
      <c r="E46" s="3"/>
      <c r="F46" s="3" t="str">
        <f>IFERROR(__xludf.DUMMYFUNCTION("""COMPUTED_VALUE"""),"Chicago")</f>
        <v>Chicago</v>
      </c>
      <c r="G46" s="3" t="str">
        <f>IFERROR(__xludf.DUMMYFUNCTION("""COMPUTED_VALUE"""),"IL")</f>
        <v>IL</v>
      </c>
      <c r="H46" s="4">
        <f>IFERROR(__xludf.DUMMYFUNCTION("""COMPUTED_VALUE"""),60608.0)</f>
        <v>60608</v>
      </c>
      <c r="I46" s="8">
        <f>IFERROR(__xludf.DUMMYFUNCTION("""COMPUTED_VALUE"""),44593.0)</f>
        <v>44593</v>
      </c>
      <c r="J46" s="3"/>
      <c r="K46" s="3" t="str">
        <f>IFERROR(__xludf.DUMMYFUNCTION("""COMPUTED_VALUE"""),"Monday - Sunday")</f>
        <v>Monday - Sunday</v>
      </c>
      <c r="L46" s="3" t="str">
        <f>IFERROR(__xludf.DUMMYFUNCTION("""COMPUTED_VALUE"""),"07:00 AM - 09:00 PM")</f>
        <v>07:00 AM - 09:00 PM</v>
      </c>
      <c r="M46" s="3"/>
      <c r="N46" s="6" t="str">
        <f>IFERROR(__xludf.DUMMYFUNCTION("""COMPUTED_VALUE"""),"https://www.cermakfreshmarket.com/")</f>
        <v>https://www.cermakfreshmarket.com/</v>
      </c>
      <c r="O46" s="3"/>
      <c r="P46" s="3"/>
      <c r="Q46" s="3" t="str">
        <f>IFERROR(__xludf.DUMMYFUNCTION("""COMPUTED_VALUE"""),"Chicago")</f>
        <v>Chicago</v>
      </c>
      <c r="R46" s="3" t="str">
        <f>IFERROR(__xludf.DUMMYFUNCTION("""COMPUTED_VALUE"""),"$5")</f>
        <v>$5</v>
      </c>
    </row>
    <row r="47">
      <c r="A47" s="3" t="str">
        <f>IFERROR(__xludf.DUMMYFUNCTION("""COMPUTED_VALUE"""),"Common Ground Food Co-op")</f>
        <v>Common Ground Food Co-op</v>
      </c>
      <c r="B47" s="3" t="str">
        <f>IFERROR(__xludf.DUMMYFUNCTION("""COMPUTED_VALUE"""),"Food Co-op")</f>
        <v>Food Co-op</v>
      </c>
      <c r="C47" s="3" t="str">
        <f>IFERROR(__xludf.DUMMYFUNCTION("""COMPUTED_VALUE"""),"40.11072722224889, -88.2066937865058")</f>
        <v>40.11072722224889, -88.2066937865058</v>
      </c>
      <c r="D47" s="3" t="str">
        <f>IFERROR(__xludf.DUMMYFUNCTION("""COMPUTED_VALUE"""),"300 S Broadway Ave")</f>
        <v>300 S Broadway Ave</v>
      </c>
      <c r="E47" s="3" t="str">
        <f>IFERROR(__xludf.DUMMYFUNCTION("""COMPUTED_VALUE"""),"Suite #166")</f>
        <v>Suite #166</v>
      </c>
      <c r="F47" s="3" t="str">
        <f>IFERROR(__xludf.DUMMYFUNCTION("""COMPUTED_VALUE"""),"Urbana")</f>
        <v>Urbana</v>
      </c>
      <c r="G47" s="3" t="str">
        <f>IFERROR(__xludf.DUMMYFUNCTION("""COMPUTED_VALUE"""),"IL")</f>
        <v>IL</v>
      </c>
      <c r="H47" s="4">
        <f>IFERROR(__xludf.DUMMYFUNCTION("""COMPUTED_VALUE"""),61801.0)</f>
        <v>61801</v>
      </c>
      <c r="I47" s="8">
        <f>IFERROR(__xludf.DUMMYFUNCTION("""COMPUTED_VALUE"""),44986.0)</f>
        <v>44986</v>
      </c>
      <c r="J47" s="3"/>
      <c r="K47" s="3" t="str">
        <f>IFERROR(__xludf.DUMMYFUNCTION("""COMPUTED_VALUE"""),"Monday - Sunday")</f>
        <v>Monday - Sunday</v>
      </c>
      <c r="L47" s="3" t="str">
        <f>IFERROR(__xludf.DUMMYFUNCTION("""COMPUTED_VALUE"""),"07:30 AM - 09:00 PM")</f>
        <v>07:30 AM - 09:00 PM</v>
      </c>
      <c r="M47" s="3"/>
      <c r="N47" s="6" t="str">
        <f>IFERROR(__xludf.DUMMYFUNCTION("""COMPUTED_VALUE"""),"https://www.commonground.coop/")</f>
        <v>https://www.commonground.coop/</v>
      </c>
      <c r="O47" s="3"/>
      <c r="P47" s="3"/>
      <c r="Q47" s="3" t="str">
        <f>IFERROR(__xludf.DUMMYFUNCTION("""COMPUTED_VALUE"""),"Central IL")</f>
        <v>Central IL</v>
      </c>
      <c r="R47" s="3" t="str">
        <f>IFERROR(__xludf.DUMMYFUNCTION("""COMPUTED_VALUE"""),"$25")</f>
        <v>$25</v>
      </c>
    </row>
    <row r="48">
      <c r="A48" s="3" t="str">
        <f>IFERROR(__xludf.DUMMYFUNCTION("""COMPUTED_VALUE"""),"Cornucopia Natural Market &amp; Deli")</f>
        <v>Cornucopia Natural Market &amp; Deli</v>
      </c>
      <c r="B48" s="3" t="str">
        <f>IFERROR(__xludf.DUMMYFUNCTION("""COMPUTED_VALUE"""),"Mid-sized Grocery Store")</f>
        <v>Mid-sized Grocery Store</v>
      </c>
      <c r="C48" s="3" t="str">
        <f>IFERROR(__xludf.DUMMYFUNCTION("""COMPUTED_VALUE"""),"40.946396457151906, -90.36474548733848")</f>
        <v>40.946396457151906, -90.36474548733848</v>
      </c>
      <c r="D48" s="3" t="str">
        <f>IFERROR(__xludf.DUMMYFUNCTION("""COMPUTED_VALUE"""),"176 S. Seminary St
Galesburg, IL 61401")</f>
        <v>176 S. Seminary St
Galesburg, IL 61401</v>
      </c>
      <c r="E48" s="3"/>
      <c r="F48" s="3" t="str">
        <f>IFERROR(__xludf.DUMMYFUNCTION("""COMPUTED_VALUE"""),"Galesburg")</f>
        <v>Galesburg</v>
      </c>
      <c r="G48" s="3" t="str">
        <f>IFERROR(__xludf.DUMMYFUNCTION("""COMPUTED_VALUE"""),"IL")</f>
        <v>IL</v>
      </c>
      <c r="H48" s="4">
        <f>IFERROR(__xludf.DUMMYFUNCTION("""COMPUTED_VALUE"""),61401.0)</f>
        <v>61401</v>
      </c>
      <c r="I48" s="8">
        <f>IFERROR(__xludf.DUMMYFUNCTION("""COMPUTED_VALUE"""),45920.0)</f>
        <v>45920</v>
      </c>
      <c r="J48" s="3"/>
      <c r="K48" s="3" t="str">
        <f>IFERROR(__xludf.DUMMYFUNCTION("""COMPUTED_VALUE"""),"Monday-Friday, Saturday, Sunday")</f>
        <v>Monday-Friday, Saturday, Sunday</v>
      </c>
      <c r="L48" s="3" t="str">
        <f>IFERROR(__xludf.DUMMYFUNCTION("""COMPUTED_VALUE"""),"08:00AM- 07:00PM, 08:00AM-05:00PM, 010:00AM-05:00PM")</f>
        <v>08:00AM- 07:00PM, 08:00AM-05:00PM, 010:00AM-05:00PM</v>
      </c>
      <c r="M48" s="3"/>
      <c r="N48" s="6" t="str">
        <f>IFERROR(__xludf.DUMMYFUNCTION("""COMPUTED_VALUE"""),"https://cornucopianaturalmarket.com/")</f>
        <v>https://cornucopianaturalmarket.com/</v>
      </c>
      <c r="O48" s="3"/>
      <c r="P48" s="3"/>
      <c r="Q48" s="3" t="str">
        <f>IFERROR(__xludf.DUMMYFUNCTION("""COMPUTED_VALUE"""),"Northern IL")</f>
        <v>Northern IL</v>
      </c>
      <c r="R48" s="3" t="str">
        <f>IFERROR(__xludf.DUMMYFUNCTION("""COMPUTED_VALUE"""),"$5")</f>
        <v>$5</v>
      </c>
    </row>
    <row r="49">
      <c r="A49" s="3" t="str">
        <f>IFERROR(__xludf.DUMMYFUNCTION("""COMPUTED_VALUE"""),"Dill Pickle Food Co-op")</f>
        <v>Dill Pickle Food Co-op</v>
      </c>
      <c r="B49" s="3" t="str">
        <f>IFERROR(__xludf.DUMMYFUNCTION("""COMPUTED_VALUE"""),"Food Co-op")</f>
        <v>Food Co-op</v>
      </c>
      <c r="C49" s="3" t="str">
        <f>IFERROR(__xludf.DUMMYFUNCTION("""COMPUTED_VALUE"""),"41.931131187209644, -87.71111912102097")</f>
        <v>41.931131187209644, -87.71111912102097</v>
      </c>
      <c r="D49" s="3" t="str">
        <f>IFERROR(__xludf.DUMMYFUNCTION("""COMPUTED_VALUE"""),"2746 N Milwaukee")</f>
        <v>2746 N Milwaukee</v>
      </c>
      <c r="E49" s="3"/>
      <c r="F49" s="3" t="str">
        <f>IFERROR(__xludf.DUMMYFUNCTION("""COMPUTED_VALUE"""),"Chicago")</f>
        <v>Chicago</v>
      </c>
      <c r="G49" s="3" t="str">
        <f>IFERROR(__xludf.DUMMYFUNCTION("""COMPUTED_VALUE"""),"IL")</f>
        <v>IL</v>
      </c>
      <c r="H49" s="4">
        <f>IFERROR(__xludf.DUMMYFUNCTION("""COMPUTED_VALUE"""),60647.0)</f>
        <v>60647</v>
      </c>
      <c r="I49" s="8">
        <f>IFERROR(__xludf.DUMMYFUNCTION("""COMPUTED_VALUE"""),43282.0)</f>
        <v>43282</v>
      </c>
      <c r="J49" s="3"/>
      <c r="K49" s="3" t="str">
        <f>IFERROR(__xludf.DUMMYFUNCTION("""COMPUTED_VALUE"""),"Monday - Sunday")</f>
        <v>Monday - Sunday</v>
      </c>
      <c r="L49" s="3" t="str">
        <f>IFERROR(__xludf.DUMMYFUNCTION("""COMPUTED_VALUE"""),"08:00 AM - 09:00 PM")</f>
        <v>08:00 AM - 09:00 PM</v>
      </c>
      <c r="M49" s="3"/>
      <c r="N49" s="6" t="str">
        <f>IFERROR(__xludf.DUMMYFUNCTION("""COMPUTED_VALUE"""),"https://dillpickle.coop/")</f>
        <v>https://dillpickle.coop/</v>
      </c>
      <c r="O49" s="3"/>
      <c r="P49" s="3"/>
      <c r="Q49" s="3" t="str">
        <f>IFERROR(__xludf.DUMMYFUNCTION("""COMPUTED_VALUE"""),"Chicago")</f>
        <v>Chicago</v>
      </c>
      <c r="R49" s="3" t="str">
        <f>IFERROR(__xludf.DUMMYFUNCTION("""COMPUTED_VALUE"""),"$10")</f>
        <v>$10</v>
      </c>
    </row>
    <row r="50">
      <c r="A50" s="3" t="str">
        <f>IFERROR(__xludf.DUMMYFUNCTION("""COMPUTED_VALUE"""),"Food Shed Co-op")</f>
        <v>Food Shed Co-op</v>
      </c>
      <c r="B50" s="3" t="str">
        <f>IFERROR(__xludf.DUMMYFUNCTION("""COMPUTED_VALUE"""),"Food Co-op")</f>
        <v>Food Co-op</v>
      </c>
      <c r="C50" s="3" t="str">
        <f>IFERROR(__xludf.DUMMYFUNCTION("""COMPUTED_VALUE"""),"42.283090459967354, -88.40785383466677")</f>
        <v>42.283090459967354, -88.40785383466677</v>
      </c>
      <c r="D50" s="3" t="str">
        <f>IFERROR(__xludf.DUMMYFUNCTION("""COMPUTED_VALUE"""),"2390 Lake Shore Drive")</f>
        <v>2390 Lake Shore Drive</v>
      </c>
      <c r="E50" s="3"/>
      <c r="F50" s="3" t="str">
        <f>IFERROR(__xludf.DUMMYFUNCTION("""COMPUTED_VALUE"""),"Woodstock")</f>
        <v>Woodstock</v>
      </c>
      <c r="G50" s="3" t="str">
        <f>IFERROR(__xludf.DUMMYFUNCTION("""COMPUTED_VALUE"""),"IL")</f>
        <v>IL</v>
      </c>
      <c r="H50" s="4">
        <f>IFERROR(__xludf.DUMMYFUNCTION("""COMPUTED_VALUE"""),60098.0)</f>
        <v>60098</v>
      </c>
      <c r="I50" s="8">
        <f>IFERROR(__xludf.DUMMYFUNCTION("""COMPUTED_VALUE"""),45536.0)</f>
        <v>45536</v>
      </c>
      <c r="J50" s="3"/>
      <c r="K50" s="3" t="str">
        <f>IFERROR(__xludf.DUMMYFUNCTION("""COMPUTED_VALUE"""),"Monday - Sunday")</f>
        <v>Monday - Sunday</v>
      </c>
      <c r="L50" s="3" t="str">
        <f>IFERROR(__xludf.DUMMYFUNCTION("""COMPUTED_VALUE"""),"09:00 AM - 08:00 PM")</f>
        <v>09:00 AM - 08:00 PM</v>
      </c>
      <c r="M50" s="3"/>
      <c r="N50" s="6" t="str">
        <f>IFERROR(__xludf.DUMMYFUNCTION("""COMPUTED_VALUE"""),"https://foodshed.coop/about/")</f>
        <v>https://foodshed.coop/about/</v>
      </c>
      <c r="O50" s="3"/>
      <c r="P50" s="3"/>
      <c r="Q50" s="3" t="str">
        <f>IFERROR(__xludf.DUMMYFUNCTION("""COMPUTED_VALUE"""),"Northern IL")</f>
        <v>Northern IL</v>
      </c>
      <c r="R50" s="3" t="str">
        <f>IFERROR(__xludf.DUMMYFUNCTION("""COMPUTED_VALUE"""),"$10")</f>
        <v>$10</v>
      </c>
    </row>
    <row r="51">
      <c r="A51" s="3" t="str">
        <f>IFERROR(__xludf.DUMMYFUNCTION("""COMPUTED_VALUE"""),"Fresh Foods Carbondale")</f>
        <v>Fresh Foods Carbondale</v>
      </c>
      <c r="B51" s="3" t="str">
        <f>IFERROR(__xludf.DUMMYFUNCTION("""COMPUTED_VALUE"""),"Neighborhood Grocer/Small Grocery Store")</f>
        <v>Neighborhood Grocer/Small Grocery Store</v>
      </c>
      <c r="C51" s="3" t="str">
        <f>IFERROR(__xludf.DUMMYFUNCTION("""COMPUTED_VALUE"""),"37.72839644198386, -89.24162444833252")</f>
        <v>37.72839644198386, -89.24162444833252</v>
      </c>
      <c r="D51" s="3" t="str">
        <f>IFERROR(__xludf.DUMMYFUNCTION("""COMPUTED_VALUE"""),"1927 W Main St")</f>
        <v>1927 W Main St</v>
      </c>
      <c r="E51" s="3"/>
      <c r="F51" s="3" t="str">
        <f>IFERROR(__xludf.DUMMYFUNCTION("""COMPUTED_VALUE"""),"Carbondale")</f>
        <v>Carbondale</v>
      </c>
      <c r="G51" s="3" t="str">
        <f>IFERROR(__xludf.DUMMYFUNCTION("""COMPUTED_VALUE"""),"IL")</f>
        <v>IL</v>
      </c>
      <c r="H51" s="4">
        <f>IFERROR(__xludf.DUMMYFUNCTION("""COMPUTED_VALUE"""),62901.0)</f>
        <v>62901</v>
      </c>
      <c r="I51" s="8">
        <f>IFERROR(__xludf.DUMMYFUNCTION("""COMPUTED_VALUE"""),45474.0)</f>
        <v>45474</v>
      </c>
      <c r="J51" s="3"/>
      <c r="K51" s="3" t="str">
        <f>IFERROR(__xludf.DUMMYFUNCTION("""COMPUTED_VALUE"""),"Monday - Friday, Saturday")</f>
        <v>Monday - Friday, Saturday</v>
      </c>
      <c r="L51" s="3" t="str">
        <f>IFERROR(__xludf.DUMMYFUNCTION("""COMPUTED_VALUE"""),"09:00 AM - 07:00 PM, 08:00 AM - 07:00 PM")</f>
        <v>09:00 AM - 07:00 PM, 08:00 AM - 07:00 PM</v>
      </c>
      <c r="M51" s="3"/>
      <c r="N51" s="3"/>
      <c r="O51" s="3"/>
      <c r="P51" s="3"/>
      <c r="Q51" s="3" t="str">
        <f>IFERROR(__xludf.DUMMYFUNCTION("""COMPUTED_VALUE"""),"Southern IL")</f>
        <v>Southern IL</v>
      </c>
      <c r="R51" s="3" t="str">
        <f>IFERROR(__xludf.DUMMYFUNCTION("""COMPUTED_VALUE"""),"$10")</f>
        <v>$10</v>
      </c>
    </row>
    <row r="52">
      <c r="A52" s="3" t="str">
        <f>IFERROR(__xludf.DUMMYFUNCTION("""COMPUTED_VALUE"""),"Go Green Community Fresh Market")</f>
        <v>Go Green Community Fresh Market</v>
      </c>
      <c r="B52" s="3" t="str">
        <f>IFERROR(__xludf.DUMMYFUNCTION("""COMPUTED_VALUE"""),"Neighborhood Grocer/Small Grocery Store")</f>
        <v>Neighborhood Grocer/Small Grocery Store</v>
      </c>
      <c r="C52" s="3" t="str">
        <f>IFERROR(__xludf.DUMMYFUNCTION("""COMPUTED_VALUE"""),"41.779786498499696, -87.65500183637424")</f>
        <v>41.779786498499696, -87.65500183637424</v>
      </c>
      <c r="D52" s="3" t="str">
        <f>IFERROR(__xludf.DUMMYFUNCTION("""COMPUTED_VALUE"""),"1207 W 63rd St")</f>
        <v>1207 W 63rd St</v>
      </c>
      <c r="E52" s="3"/>
      <c r="F52" s="3" t="str">
        <f>IFERROR(__xludf.DUMMYFUNCTION("""COMPUTED_VALUE"""),"Chicago")</f>
        <v>Chicago</v>
      </c>
      <c r="G52" s="3" t="str">
        <f>IFERROR(__xludf.DUMMYFUNCTION("""COMPUTED_VALUE"""),"IL")</f>
        <v>IL</v>
      </c>
      <c r="H52" s="4">
        <f>IFERROR(__xludf.DUMMYFUNCTION("""COMPUTED_VALUE"""),60636.0)</f>
        <v>60636</v>
      </c>
      <c r="I52" s="8">
        <f>IFERROR(__xludf.DUMMYFUNCTION("""COMPUTED_VALUE"""),44682.0)</f>
        <v>44682</v>
      </c>
      <c r="J52" s="3"/>
      <c r="K52" s="3" t="str">
        <f>IFERROR(__xludf.DUMMYFUNCTION("""COMPUTED_VALUE"""),"Monday - Friday, Saturday - Sunday")</f>
        <v>Monday - Friday, Saturday - Sunday</v>
      </c>
      <c r="L52" s="3" t="str">
        <f>IFERROR(__xludf.DUMMYFUNCTION("""COMPUTED_VALUE"""),"08:00 AM - 07:00 PM, 9:00 AM - 06:00 PM")</f>
        <v>08:00 AM - 07:00 PM, 9:00 AM - 06:00 PM</v>
      </c>
      <c r="M52" s="3"/>
      <c r="N52" s="6" t="str">
        <f>IFERROR(__xludf.DUMMYFUNCTION("""COMPUTED_VALUE"""),"https://gogreenonracine.com/fresh-market")</f>
        <v>https://gogreenonracine.com/fresh-market</v>
      </c>
      <c r="O52" s="3"/>
      <c r="P52" s="3"/>
      <c r="Q52" s="3" t="str">
        <f>IFERROR(__xludf.DUMMYFUNCTION("""COMPUTED_VALUE"""),"Chicago")</f>
        <v>Chicago</v>
      </c>
      <c r="R52" s="3" t="str">
        <f>IFERROR(__xludf.DUMMYFUNCTION("""COMPUTED_VALUE"""),"$5")</f>
        <v>$5</v>
      </c>
    </row>
    <row r="53">
      <c r="A53" s="3" t="str">
        <f>IFERROR(__xludf.DUMMYFUNCTION("""COMPUTED_VALUE"""),"Green Top Grocery")</f>
        <v>Green Top Grocery</v>
      </c>
      <c r="B53" s="3" t="str">
        <f>IFERROR(__xludf.DUMMYFUNCTION("""COMPUTED_VALUE"""),"Food Co-op")</f>
        <v>Food Co-op</v>
      </c>
      <c r="C53" s="3" t="str">
        <f>IFERROR(__xludf.DUMMYFUNCTION("""COMPUTED_VALUE"""),"40.479655300442786, -88.9804934057949")</f>
        <v>40.479655300442786, -88.9804934057949</v>
      </c>
      <c r="D53" s="3" t="str">
        <f>IFERROR(__xludf.DUMMYFUNCTION("""COMPUTED_VALUE"""),"921 E Washington St")</f>
        <v>921 E Washington St</v>
      </c>
      <c r="E53" s="3"/>
      <c r="F53" s="3" t="str">
        <f>IFERROR(__xludf.DUMMYFUNCTION("""COMPUTED_VALUE"""),"Bloomington")</f>
        <v>Bloomington</v>
      </c>
      <c r="G53" s="3" t="str">
        <f>IFERROR(__xludf.DUMMYFUNCTION("""COMPUTED_VALUE"""),"IL")</f>
        <v>IL</v>
      </c>
      <c r="H53" s="4">
        <f>IFERROR(__xludf.DUMMYFUNCTION("""COMPUTED_VALUE"""),61701.0)</f>
        <v>61701</v>
      </c>
      <c r="I53" s="8">
        <f>IFERROR(__xludf.DUMMYFUNCTION("""COMPUTED_VALUE"""),44805.0)</f>
        <v>44805</v>
      </c>
      <c r="J53" s="3"/>
      <c r="K53" s="3" t="str">
        <f>IFERROR(__xludf.DUMMYFUNCTION("""COMPUTED_VALUE"""),"Monday - Sunday")</f>
        <v>Monday - Sunday</v>
      </c>
      <c r="L53" s="3" t="str">
        <f>IFERROR(__xludf.DUMMYFUNCTION("""COMPUTED_VALUE"""),"08:00 AM - 08:00 PM")</f>
        <v>08:00 AM - 08:00 PM</v>
      </c>
      <c r="M53" s="3"/>
      <c r="N53" s="6" t="str">
        <f>IFERROR(__xludf.DUMMYFUNCTION("""COMPUTED_VALUE"""),"https://greentopgrocery.com/")</f>
        <v>https://greentopgrocery.com/</v>
      </c>
      <c r="O53" s="3"/>
      <c r="P53" s="3"/>
      <c r="Q53" s="3" t="str">
        <f>IFERROR(__xludf.DUMMYFUNCTION("""COMPUTED_VALUE"""),"Central IL")</f>
        <v>Central IL</v>
      </c>
      <c r="R53" s="3" t="str">
        <f>IFERROR(__xludf.DUMMYFUNCTION("""COMPUTED_VALUE"""),"$10")</f>
        <v>$10</v>
      </c>
    </row>
    <row r="54">
      <c r="A54" s="3" t="str">
        <f>IFERROR(__xludf.DUMMYFUNCTION("""COMPUTED_VALUE"""),"Jewel-Osco: Antioch")</f>
        <v>Jewel-Osco: Antioch</v>
      </c>
      <c r="B54" s="3" t="str">
        <f>IFERROR(__xludf.DUMMYFUNCTION("""COMPUTED_VALUE"""),"Full-Service Supermarket")</f>
        <v>Full-Service Supermarket</v>
      </c>
      <c r="C54" s="3" t="str">
        <f>IFERROR(__xludf.DUMMYFUNCTION("""COMPUTED_VALUE"""),"42.477289861547405, -88.10612356330623")</f>
        <v>42.477289861547405, -88.10612356330623</v>
      </c>
      <c r="D54" s="3" t="str">
        <f>IFERROR(__xludf.DUMMYFUNCTION("""COMPUTED_VALUE"""),"966 Route 59")</f>
        <v>966 Route 59</v>
      </c>
      <c r="E54" s="3"/>
      <c r="F54" s="3" t="str">
        <f>IFERROR(__xludf.DUMMYFUNCTION("""COMPUTED_VALUE"""),"Antioch")</f>
        <v>Antioch</v>
      </c>
      <c r="G54" s="3" t="str">
        <f>IFERROR(__xludf.DUMMYFUNCTION("""COMPUTED_VALUE"""),"IL")</f>
        <v>IL</v>
      </c>
      <c r="H54" s="4">
        <f>IFERROR(__xludf.DUMMYFUNCTION("""COMPUTED_VALUE"""),60002.0)</f>
        <v>60002</v>
      </c>
      <c r="I54" s="8">
        <f>IFERROR(__xludf.DUMMYFUNCTION("""COMPUTED_VALUE"""),45323.0)</f>
        <v>45323</v>
      </c>
      <c r="J54" s="3"/>
      <c r="K54" s="3" t="str">
        <f>IFERROR(__xludf.DUMMYFUNCTION("""COMPUTED_VALUE"""),"Monday - Sunday")</f>
        <v>Monday - Sunday</v>
      </c>
      <c r="L54" s="3" t="str">
        <f>IFERROR(__xludf.DUMMYFUNCTION("""COMPUTED_VALUE"""),"06:00 AM - 10:00 PM")</f>
        <v>06:00 AM - 10:00 PM</v>
      </c>
      <c r="M54" s="3"/>
      <c r="N54" s="6" t="str">
        <f>IFERROR(__xludf.DUMMYFUNCTION("""COMPUTED_VALUE"""),"https://www.jewelosco.com/")</f>
        <v>https://www.jewelosco.com/</v>
      </c>
      <c r="O54" s="3"/>
      <c r="P54" s="3"/>
      <c r="Q54" s="3" t="str">
        <f>IFERROR(__xludf.DUMMYFUNCTION("""COMPUTED_VALUE"""),"Northern IL")</f>
        <v>Northern IL</v>
      </c>
      <c r="R54" s="3" t="str">
        <f>IFERROR(__xludf.DUMMYFUNCTION("""COMPUTED_VALUE"""),"$5")</f>
        <v>$5</v>
      </c>
    </row>
    <row r="55">
      <c r="A55" s="3" t="str">
        <f>IFERROR(__xludf.DUMMYFUNCTION("""COMPUTED_VALUE"""),"Jewel-Osco: Belmont-Cragin")</f>
        <v>Jewel-Osco: Belmont-Cragin</v>
      </c>
      <c r="B55" s="3" t="str">
        <f>IFERROR(__xludf.DUMMYFUNCTION("""COMPUTED_VALUE"""),"Full-Service Supermarket")</f>
        <v>Full-Service Supermarket</v>
      </c>
      <c r="C55" s="3" t="str">
        <f>IFERROR(__xludf.DUMMYFUNCTION("""COMPUTED_VALUE"""),"41.92635904325688, -87.78633976089334")</f>
        <v>41.92635904325688, -87.78633976089334</v>
      </c>
      <c r="D55" s="3" t="str">
        <f>IFERROR(__xludf.DUMMYFUNCTION("""COMPUTED_VALUE"""),"2520 N Narragansett Ave")</f>
        <v>2520 N Narragansett Ave</v>
      </c>
      <c r="E55" s="3"/>
      <c r="F55" s="3" t="str">
        <f>IFERROR(__xludf.DUMMYFUNCTION("""COMPUTED_VALUE"""),"Chicago")</f>
        <v>Chicago</v>
      </c>
      <c r="G55" s="3" t="str">
        <f>IFERROR(__xludf.DUMMYFUNCTION("""COMPUTED_VALUE"""),"IL")</f>
        <v>IL</v>
      </c>
      <c r="H55" s="4">
        <f>IFERROR(__xludf.DUMMYFUNCTION("""COMPUTED_VALUE"""),60639.0)</f>
        <v>60639</v>
      </c>
      <c r="I55" s="8">
        <f>IFERROR(__xludf.DUMMYFUNCTION("""COMPUTED_VALUE"""),45536.0)</f>
        <v>45536</v>
      </c>
      <c r="J55" s="3"/>
      <c r="K55" s="3" t="str">
        <f>IFERROR(__xludf.DUMMYFUNCTION("""COMPUTED_VALUE"""),"Monday - Sunday")</f>
        <v>Monday - Sunday</v>
      </c>
      <c r="L55" s="3" t="str">
        <f>IFERROR(__xludf.DUMMYFUNCTION("""COMPUTED_VALUE"""),"06:00 AM - 12:00 AM")</f>
        <v>06:00 AM - 12:00 AM</v>
      </c>
      <c r="M55" s="3"/>
      <c r="N55" s="6" t="str">
        <f>IFERROR(__xludf.DUMMYFUNCTION("""COMPUTED_VALUE"""),"https://www.jewelosco.com/")</f>
        <v>https://www.jewelosco.com/</v>
      </c>
      <c r="O55" s="3"/>
      <c r="P55" s="3"/>
      <c r="Q55" s="3" t="str">
        <f>IFERROR(__xludf.DUMMYFUNCTION("""COMPUTED_VALUE"""),"Chicago")</f>
        <v>Chicago</v>
      </c>
      <c r="R55" s="3" t="str">
        <f>IFERROR(__xludf.DUMMYFUNCTION("""COMPUTED_VALUE"""),"$5")</f>
        <v>$5</v>
      </c>
    </row>
    <row r="56">
      <c r="A56" s="3" t="str">
        <f>IFERROR(__xludf.DUMMYFUNCTION("""COMPUTED_VALUE"""),"Jewel-Osco: Bronzeville")</f>
        <v>Jewel-Osco: Bronzeville</v>
      </c>
      <c r="B56" s="3" t="str">
        <f>IFERROR(__xludf.DUMMYFUNCTION("""COMPUTED_VALUE"""),"Full-Service Supermarket")</f>
        <v>Full-Service Supermarket</v>
      </c>
      <c r="C56" s="3" t="str">
        <f>IFERROR(__xludf.DUMMYFUNCTION("""COMPUTED_VALUE"""),"41.83318076903926, -87.61461269034662")</f>
        <v>41.83318076903926, -87.61461269034662</v>
      </c>
      <c r="D56" s="3" t="str">
        <f>IFERROR(__xludf.DUMMYFUNCTION("""COMPUTED_VALUE"""),"443 E 34th St")</f>
        <v>443 E 34th St</v>
      </c>
      <c r="E56" s="3"/>
      <c r="F56" s="3" t="str">
        <f>IFERROR(__xludf.DUMMYFUNCTION("""COMPUTED_VALUE"""),"Chicago")</f>
        <v>Chicago</v>
      </c>
      <c r="G56" s="3" t="str">
        <f>IFERROR(__xludf.DUMMYFUNCTION("""COMPUTED_VALUE"""),"IL")</f>
        <v>IL</v>
      </c>
      <c r="H56" s="4">
        <f>IFERROR(__xludf.DUMMYFUNCTION("""COMPUTED_VALUE"""),60616.0)</f>
        <v>60616</v>
      </c>
      <c r="I56" s="8">
        <f>IFERROR(__xludf.DUMMYFUNCTION("""COMPUTED_VALUE"""),45323.0)</f>
        <v>45323</v>
      </c>
      <c r="J56" s="3"/>
      <c r="K56" s="3" t="str">
        <f>IFERROR(__xludf.DUMMYFUNCTION("""COMPUTED_VALUE"""),"Monday - Sunday")</f>
        <v>Monday - Sunday</v>
      </c>
      <c r="L56" s="3" t="str">
        <f>IFERROR(__xludf.DUMMYFUNCTION("""COMPUTED_VALUE"""),"07:00 AM - 10:00 PM")</f>
        <v>07:00 AM - 10:00 PM</v>
      </c>
      <c r="M56" s="3"/>
      <c r="N56" s="6" t="str">
        <f>IFERROR(__xludf.DUMMYFUNCTION("""COMPUTED_VALUE"""),"https://www.jewelosco.com/")</f>
        <v>https://www.jewelosco.com/</v>
      </c>
      <c r="O56" s="3"/>
      <c r="P56" s="3"/>
      <c r="Q56" s="3" t="str">
        <f>IFERROR(__xludf.DUMMYFUNCTION("""COMPUTED_VALUE"""),"Chicago")</f>
        <v>Chicago</v>
      </c>
      <c r="R56" s="3" t="str">
        <f>IFERROR(__xludf.DUMMYFUNCTION("""COMPUTED_VALUE"""),"$5")</f>
        <v>$5</v>
      </c>
    </row>
    <row r="57">
      <c r="A57" s="3" t="str">
        <f>IFERROR(__xludf.DUMMYFUNCTION("""COMPUTED_VALUE"""),"Jewel-Osco: DeKalb")</f>
        <v>Jewel-Osco: DeKalb</v>
      </c>
      <c r="B57" s="3" t="str">
        <f>IFERROR(__xludf.DUMMYFUNCTION("""COMPUTED_VALUE"""),"Full-Service Supermarket")</f>
        <v>Full-Service Supermarket</v>
      </c>
      <c r="C57" s="3" t="str">
        <f>IFERROR(__xludf.DUMMYFUNCTION("""COMPUTED_VALUE"""),"41.94276465531164, -88.73659794800832")</f>
        <v>41.94276465531164, -88.73659794800832</v>
      </c>
      <c r="D57" s="3" t="str">
        <f>IFERROR(__xludf.DUMMYFUNCTION("""COMPUTED_VALUE"""),"1320 Sycamore Rd")</f>
        <v>1320 Sycamore Rd</v>
      </c>
      <c r="E57" s="3"/>
      <c r="F57" s="3" t="str">
        <f>IFERROR(__xludf.DUMMYFUNCTION("""COMPUTED_VALUE"""),"Dekalb")</f>
        <v>Dekalb</v>
      </c>
      <c r="G57" s="3" t="str">
        <f>IFERROR(__xludf.DUMMYFUNCTION("""COMPUTED_VALUE"""),"IL")</f>
        <v>IL</v>
      </c>
      <c r="H57" s="4">
        <f>IFERROR(__xludf.DUMMYFUNCTION("""COMPUTED_VALUE"""),60115.0)</f>
        <v>60115</v>
      </c>
      <c r="I57" s="8">
        <f>IFERROR(__xludf.DUMMYFUNCTION("""COMPUTED_VALUE"""),45323.0)</f>
        <v>45323</v>
      </c>
      <c r="J57" s="3"/>
      <c r="K57" s="3" t="str">
        <f>IFERROR(__xludf.DUMMYFUNCTION("""COMPUTED_VALUE"""),"Monday - Sunday")</f>
        <v>Monday - Sunday</v>
      </c>
      <c r="L57" s="3" t="str">
        <f>IFERROR(__xludf.DUMMYFUNCTION("""COMPUTED_VALUE"""),"06:00 AM - 10:00 PM")</f>
        <v>06:00 AM - 10:00 PM</v>
      </c>
      <c r="M57" s="3"/>
      <c r="N57" s="6" t="str">
        <f>IFERROR(__xludf.DUMMYFUNCTION("""COMPUTED_VALUE"""),"https://www.jewelosco.com/")</f>
        <v>https://www.jewelosco.com/</v>
      </c>
      <c r="O57" s="3"/>
      <c r="P57" s="3"/>
      <c r="Q57" s="3" t="str">
        <f>IFERROR(__xludf.DUMMYFUNCTION("""COMPUTED_VALUE"""),"Northern IL")</f>
        <v>Northern IL</v>
      </c>
      <c r="R57" s="3" t="str">
        <f>IFERROR(__xludf.DUMMYFUNCTION("""COMPUTED_VALUE"""),"$5")</f>
        <v>$5</v>
      </c>
    </row>
    <row r="58">
      <c r="A58" s="3" t="str">
        <f>IFERROR(__xludf.DUMMYFUNCTION("""COMPUTED_VALUE"""),"Jewel-Osco: Oak Park")</f>
        <v>Jewel-Osco: Oak Park</v>
      </c>
      <c r="B58" s="3" t="str">
        <f>IFERROR(__xludf.DUMMYFUNCTION("""COMPUTED_VALUE"""),"Full-Service Supermarket")</f>
        <v>Full-Service Supermarket</v>
      </c>
      <c r="C58" s="3" t="str">
        <f>IFERROR(__xludf.DUMMYFUNCTION("""COMPUTED_VALUE"""),"41.88040599389015, -87.78651037567397")</f>
        <v>41.88040599389015, -87.78651037567397</v>
      </c>
      <c r="D58" s="3" t="str">
        <f>IFERROR(__xludf.DUMMYFUNCTION("""COMPUTED_VALUE"""),"438 W Madison St")</f>
        <v>438 W Madison St</v>
      </c>
      <c r="E58" s="3"/>
      <c r="F58" s="3" t="str">
        <f>IFERROR(__xludf.DUMMYFUNCTION("""COMPUTED_VALUE"""),"Oak Park")</f>
        <v>Oak Park</v>
      </c>
      <c r="G58" s="3" t="str">
        <f>IFERROR(__xludf.DUMMYFUNCTION("""COMPUTED_VALUE"""),"IL")</f>
        <v>IL</v>
      </c>
      <c r="H58" s="4">
        <f>IFERROR(__xludf.DUMMYFUNCTION("""COMPUTED_VALUE"""),60302.0)</f>
        <v>60302</v>
      </c>
      <c r="I58" s="8">
        <f>IFERROR(__xludf.DUMMYFUNCTION("""COMPUTED_VALUE"""),45536.0)</f>
        <v>45536</v>
      </c>
      <c r="J58" s="3"/>
      <c r="K58" s="3" t="str">
        <f>IFERROR(__xludf.DUMMYFUNCTION("""COMPUTED_VALUE"""),"Monday - Sunday")</f>
        <v>Monday - Sunday</v>
      </c>
      <c r="L58" s="3" t="str">
        <f>IFERROR(__xludf.DUMMYFUNCTION("""COMPUTED_VALUE"""),"06:00 AM - 12:00 AM")</f>
        <v>06:00 AM - 12:00 AM</v>
      </c>
      <c r="M58" s="3"/>
      <c r="N58" s="6" t="str">
        <f>IFERROR(__xludf.DUMMYFUNCTION("""COMPUTED_VALUE"""),"https://www.jewelosco.com/")</f>
        <v>https://www.jewelosco.com/</v>
      </c>
      <c r="O58" s="3"/>
      <c r="P58" s="3"/>
      <c r="Q58" s="3" t="str">
        <f>IFERROR(__xludf.DUMMYFUNCTION("""COMPUTED_VALUE"""),"Chicago Suburbs")</f>
        <v>Chicago Suburbs</v>
      </c>
      <c r="R58" s="3" t="str">
        <f>IFERROR(__xludf.DUMMYFUNCTION("""COMPUTED_VALUE"""),"$5")</f>
        <v>$5</v>
      </c>
    </row>
    <row r="59">
      <c r="A59" s="3" t="str">
        <f>IFERROR(__xludf.DUMMYFUNCTION("""COMPUTED_VALUE"""),"Jewel-Osco: South Shore")</f>
        <v>Jewel-Osco: South Shore</v>
      </c>
      <c r="B59" s="3" t="str">
        <f>IFERROR(__xludf.DUMMYFUNCTION("""COMPUTED_VALUE"""),"Full-Service Supermarket")</f>
        <v>Full-Service Supermarket</v>
      </c>
      <c r="C59" s="3" t="str">
        <f>IFERROR(__xludf.DUMMYFUNCTION("""COMPUTED_VALUE"""),"41.75855452683415, -87.587704534529")</f>
        <v>41.75855452683415, -87.587704534529</v>
      </c>
      <c r="D59" s="3" t="str">
        <f>IFERROR(__xludf.DUMMYFUNCTION("""COMPUTED_VALUE"""),"7530 S Stony Island Ave")</f>
        <v>7530 S Stony Island Ave</v>
      </c>
      <c r="E59" s="3"/>
      <c r="F59" s="3" t="str">
        <f>IFERROR(__xludf.DUMMYFUNCTION("""COMPUTED_VALUE"""),"Chicago")</f>
        <v>Chicago</v>
      </c>
      <c r="G59" s="3" t="str">
        <f>IFERROR(__xludf.DUMMYFUNCTION("""COMPUTED_VALUE"""),"IL")</f>
        <v>IL</v>
      </c>
      <c r="H59" s="4">
        <f>IFERROR(__xludf.DUMMYFUNCTION("""COMPUTED_VALUE"""),60649.0)</f>
        <v>60649</v>
      </c>
      <c r="I59" s="8">
        <f>IFERROR(__xludf.DUMMYFUNCTION("""COMPUTED_VALUE"""),45323.0)</f>
        <v>45323</v>
      </c>
      <c r="J59" s="3"/>
      <c r="K59" s="3" t="str">
        <f>IFERROR(__xludf.DUMMYFUNCTION("""COMPUTED_VALUE"""),"Monday - Sunday")</f>
        <v>Monday - Sunday</v>
      </c>
      <c r="L59" s="3" t="str">
        <f>IFERROR(__xludf.DUMMYFUNCTION("""COMPUTED_VALUE"""),"07:00 AM - 10:00 PM")</f>
        <v>07:00 AM - 10:00 PM</v>
      </c>
      <c r="M59" s="3"/>
      <c r="N59" s="6" t="str">
        <f>IFERROR(__xludf.DUMMYFUNCTION("""COMPUTED_VALUE"""),"https://www.jewelosco.com/")</f>
        <v>https://www.jewelosco.com/</v>
      </c>
      <c r="O59" s="3"/>
      <c r="P59" s="3"/>
      <c r="Q59" s="3" t="str">
        <f>IFERROR(__xludf.DUMMYFUNCTION("""COMPUTED_VALUE"""),"Chicago")</f>
        <v>Chicago</v>
      </c>
      <c r="R59" s="3" t="str">
        <f>IFERROR(__xludf.DUMMYFUNCTION("""COMPUTED_VALUE"""),"$5")</f>
        <v>$5</v>
      </c>
    </row>
    <row r="60">
      <c r="A60" s="3" t="str">
        <f>IFERROR(__xludf.DUMMYFUNCTION("""COMPUTED_VALUE"""),"Jewel-Osco: Wicker Park")</f>
        <v>Jewel-Osco: Wicker Park</v>
      </c>
      <c r="B60" s="3" t="str">
        <f>IFERROR(__xludf.DUMMYFUNCTION("""COMPUTED_VALUE"""),"Full-Service Supermarket")</f>
        <v>Full-Service Supermarket</v>
      </c>
      <c r="C60" s="3" t="str">
        <f>IFERROR(__xludf.DUMMYFUNCTION("""COMPUTED_VALUE"""),"41.90656395819349, -87.66878168916308")</f>
        <v>41.90656395819349, -87.66878168916308</v>
      </c>
      <c r="D60" s="3" t="str">
        <f>IFERROR(__xludf.DUMMYFUNCTION("""COMPUTED_VALUE"""),"1341 N Paulina St")</f>
        <v>1341 N Paulina St</v>
      </c>
      <c r="E60" s="3"/>
      <c r="F60" s="3" t="str">
        <f>IFERROR(__xludf.DUMMYFUNCTION("""COMPUTED_VALUE"""),"Chicago")</f>
        <v>Chicago</v>
      </c>
      <c r="G60" s="3" t="str">
        <f>IFERROR(__xludf.DUMMYFUNCTION("""COMPUTED_VALUE"""),"IL")</f>
        <v>IL</v>
      </c>
      <c r="H60" s="4">
        <f>IFERROR(__xludf.DUMMYFUNCTION("""COMPUTED_VALUE"""),60622.0)</f>
        <v>60622</v>
      </c>
      <c r="I60" s="8">
        <f>IFERROR(__xludf.DUMMYFUNCTION("""COMPUTED_VALUE"""),45536.0)</f>
        <v>45536</v>
      </c>
      <c r="J60" s="3"/>
      <c r="K60" s="3" t="str">
        <f>IFERROR(__xludf.DUMMYFUNCTION("""COMPUTED_VALUE"""),"Monday - Sunday")</f>
        <v>Monday - Sunday</v>
      </c>
      <c r="L60" s="3" t="str">
        <f>IFERROR(__xludf.DUMMYFUNCTION("""COMPUTED_VALUE"""),"06:00 AM - 12:00 AM")</f>
        <v>06:00 AM - 12:00 AM</v>
      </c>
      <c r="M60" s="3"/>
      <c r="N60" s="6" t="str">
        <f>IFERROR(__xludf.DUMMYFUNCTION("""COMPUTED_VALUE"""),"https://www.jewelosco.com/")</f>
        <v>https://www.jewelosco.com/</v>
      </c>
      <c r="O60" s="3"/>
      <c r="P60" s="3"/>
      <c r="Q60" s="3" t="str">
        <f>IFERROR(__xludf.DUMMYFUNCTION("""COMPUTED_VALUE"""),"Chicago")</f>
        <v>Chicago</v>
      </c>
      <c r="R60" s="3" t="str">
        <f>IFERROR(__xludf.DUMMYFUNCTION("""COMPUTED_VALUE"""),"$5")</f>
        <v>$5</v>
      </c>
    </row>
    <row r="61">
      <c r="A61" s="3" t="str">
        <f>IFERROR(__xludf.DUMMYFUNCTION("""COMPUTED_VALUE"""),"Living Fresh Market")</f>
        <v>Living Fresh Market</v>
      </c>
      <c r="B61" s="3" t="str">
        <f>IFERROR(__xludf.DUMMYFUNCTION("""COMPUTED_VALUE"""),"Full-Service Supermarket")</f>
        <v>Full-Service Supermarket</v>
      </c>
      <c r="C61" s="3" t="str">
        <f>IFERROR(__xludf.DUMMYFUNCTION("""COMPUTED_VALUE"""),"41.86393753601783, -87.81288786931579")</f>
        <v>41.86393753601783, -87.81288786931579</v>
      </c>
      <c r="D61" s="3" t="str">
        <f>IFERROR(__xludf.DUMMYFUNCTION("""COMPUTED_VALUE"""),"7520 Roosevelt Rd.
Forest Park, IL 60130")</f>
        <v>7520 Roosevelt Rd.
Forest Park, IL 60130</v>
      </c>
      <c r="E61" s="3"/>
      <c r="F61" s="3" t="str">
        <f>IFERROR(__xludf.DUMMYFUNCTION("""COMPUTED_VALUE"""),"Forest Park")</f>
        <v>Forest Park</v>
      </c>
      <c r="G61" s="3" t="str">
        <f>IFERROR(__xludf.DUMMYFUNCTION("""COMPUTED_VALUE"""),"IL")</f>
        <v>IL</v>
      </c>
      <c r="H61" s="4">
        <f>IFERROR(__xludf.DUMMYFUNCTION("""COMPUTED_VALUE"""),60130.0)</f>
        <v>60130</v>
      </c>
      <c r="I61" s="8">
        <f>IFERROR(__xludf.DUMMYFUNCTION("""COMPUTED_VALUE"""),45920.0)</f>
        <v>45920</v>
      </c>
      <c r="J61" s="3"/>
      <c r="K61" s="3" t="str">
        <f>IFERROR(__xludf.DUMMYFUNCTION("""COMPUTED_VALUE"""),"Tuesday-Sunday")</f>
        <v>Tuesday-Sunday</v>
      </c>
      <c r="L61" s="3" t="str">
        <f>IFERROR(__xludf.DUMMYFUNCTION("""COMPUTED_VALUE"""),"07:00AM-09:00PM")</f>
        <v>07:00AM-09:00PM</v>
      </c>
      <c r="M61" s="3"/>
      <c r="N61" s="6" t="str">
        <f>IFERROR(__xludf.DUMMYFUNCTION("""COMPUTED_VALUE"""),"https://www.livingfreshmarket.com/")</f>
        <v>https://www.livingfreshmarket.com/</v>
      </c>
      <c r="O61" s="3"/>
      <c r="P61" s="3"/>
      <c r="Q61" s="3" t="str">
        <f>IFERROR(__xludf.DUMMYFUNCTION("""COMPUTED_VALUE"""),"Chicago Suburbs")</f>
        <v>Chicago Suburbs</v>
      </c>
      <c r="R61" s="3" t="str">
        <f>IFERROR(__xludf.DUMMYFUNCTION("""COMPUTED_VALUE"""),"$5")</f>
        <v>$5</v>
      </c>
    </row>
    <row r="62">
      <c r="A62" s="3" t="str">
        <f>IFERROR(__xludf.DUMMYFUNCTION("""COMPUTED_VALUE"""),"Mi Mexico")</f>
        <v>Mi Mexico</v>
      </c>
      <c r="B62" s="3" t="str">
        <f>IFERROR(__xludf.DUMMYFUNCTION("""COMPUTED_VALUE"""),"Corner Store/Convenience Store")</f>
        <v>Corner Store/Convenience Store</v>
      </c>
      <c r="C62" s="3" t="str">
        <f>IFERROR(__xludf.DUMMYFUNCTION("""COMPUTED_VALUE"""),"41.78649279529708, -87.68897582208817")</f>
        <v>41.78649279529708, -87.68897582208817</v>
      </c>
      <c r="D62" s="3" t="str">
        <f>IFERROR(__xludf.DUMMYFUNCTION("""COMPUTED_VALUE"""),"2601 W 59th St")</f>
        <v>2601 W 59th St</v>
      </c>
      <c r="E62" s="3"/>
      <c r="F62" s="3" t="str">
        <f>IFERROR(__xludf.DUMMYFUNCTION("""COMPUTED_VALUE"""),"Chicago")</f>
        <v>Chicago</v>
      </c>
      <c r="G62" s="3" t="str">
        <f>IFERROR(__xludf.DUMMYFUNCTION("""COMPUTED_VALUE"""),"IL")</f>
        <v>IL</v>
      </c>
      <c r="H62" s="4">
        <f>IFERROR(__xludf.DUMMYFUNCTION("""COMPUTED_VALUE"""),60629.0)</f>
        <v>60629</v>
      </c>
      <c r="I62" s="8">
        <f>IFERROR(__xludf.DUMMYFUNCTION("""COMPUTED_VALUE"""),44409.0)</f>
        <v>44409</v>
      </c>
      <c r="J62" s="3"/>
      <c r="K62" s="3" t="str">
        <f>IFERROR(__xludf.DUMMYFUNCTION("""COMPUTED_VALUE"""),"Monday - Sunday")</f>
        <v>Monday - Sunday</v>
      </c>
      <c r="L62" s="3" t="str">
        <f>IFERROR(__xludf.DUMMYFUNCTION("""COMPUTED_VALUE"""),"07:00 AM - 09:00 PM")</f>
        <v>07:00 AM - 09:00 PM</v>
      </c>
      <c r="M62" s="3"/>
      <c r="N62" s="6" t="str">
        <f>IFERROR(__xludf.DUMMYFUNCTION("""COMPUTED_VALUE"""),"https://www.facebook.com/MiMexicoGroceryStore/")</f>
        <v>https://www.facebook.com/MiMexicoGroceryStore/</v>
      </c>
      <c r="O62" s="3"/>
      <c r="P62" s="3"/>
      <c r="Q62" s="3" t="str">
        <f>IFERROR(__xludf.DUMMYFUNCTION("""COMPUTED_VALUE"""),"Chicago")</f>
        <v>Chicago</v>
      </c>
      <c r="R62" s="3" t="str">
        <f>IFERROR(__xludf.DUMMYFUNCTION("""COMPUTED_VALUE"""),"$5")</f>
        <v>$5</v>
      </c>
    </row>
    <row r="63">
      <c r="A63" s="3" t="str">
        <f>IFERROR(__xludf.DUMMYFUNCTION("""COMPUTED_VALUE"""),"Morgan Mini Mart")</f>
        <v>Morgan Mini Mart</v>
      </c>
      <c r="B63" s="3" t="str">
        <f>IFERROR(__xludf.DUMMYFUNCTION("""COMPUTED_VALUE"""),"Corner Store/Convenience Store")</f>
        <v>Corner Store/Convenience Store</v>
      </c>
      <c r="C63" s="3" t="str">
        <f>IFERROR(__xludf.DUMMYFUNCTION("""COMPUTED_VALUE"""),"41.774327005219426, -87.64962817685718")</f>
        <v>41.774327005219426, -87.64962817685718</v>
      </c>
      <c r="D63" s="3" t="str">
        <f>IFERROR(__xludf.DUMMYFUNCTION("""COMPUTED_VALUE"""),"6600 S Morgan St")</f>
        <v>6600 S Morgan St</v>
      </c>
      <c r="E63" s="3"/>
      <c r="F63" s="3" t="str">
        <f>IFERROR(__xludf.DUMMYFUNCTION("""COMPUTED_VALUE"""),"Chicago")</f>
        <v>Chicago</v>
      </c>
      <c r="G63" s="3" t="str">
        <f>IFERROR(__xludf.DUMMYFUNCTION("""COMPUTED_VALUE"""),"IL")</f>
        <v>IL</v>
      </c>
      <c r="H63" s="4">
        <f>IFERROR(__xludf.DUMMYFUNCTION("""COMPUTED_VALUE"""),60621.0)</f>
        <v>60621</v>
      </c>
      <c r="I63" s="8">
        <f>IFERROR(__xludf.DUMMYFUNCTION("""COMPUTED_VALUE"""),44228.0)</f>
        <v>44228</v>
      </c>
      <c r="J63" s="3"/>
      <c r="K63" s="3" t="str">
        <f>IFERROR(__xludf.DUMMYFUNCTION("""COMPUTED_VALUE"""),"Monday - Sunday")</f>
        <v>Monday - Sunday</v>
      </c>
      <c r="L63" s="3" t="str">
        <f>IFERROR(__xludf.DUMMYFUNCTION("""COMPUTED_VALUE"""),"09:00 AM - 07:00 PM")</f>
        <v>09:00 AM - 07:00 PM</v>
      </c>
      <c r="M63" s="3"/>
      <c r="N63" s="3"/>
      <c r="O63" s="3"/>
      <c r="P63" s="3"/>
      <c r="Q63" s="3" t="str">
        <f>IFERROR(__xludf.DUMMYFUNCTION("""COMPUTED_VALUE"""),"Chicago")</f>
        <v>Chicago</v>
      </c>
      <c r="R63" s="3" t="str">
        <f>IFERROR(__xludf.DUMMYFUNCTION("""COMPUTED_VALUE"""),"$5")</f>
        <v>$5</v>
      </c>
    </row>
    <row r="64">
      <c r="A64" s="3" t="str">
        <f>IFERROR(__xludf.DUMMYFUNCTION("""COMPUTED_VALUE"""),"Neighborhood Co-op Grocery")</f>
        <v>Neighborhood Co-op Grocery</v>
      </c>
      <c r="B64" s="3" t="str">
        <f>IFERROR(__xludf.DUMMYFUNCTION("""COMPUTED_VALUE"""),"Food Co-op")</f>
        <v>Food Co-op</v>
      </c>
      <c r="C64" s="3" t="str">
        <f>IFERROR(__xludf.DUMMYFUNCTION("""COMPUTED_VALUE"""),"37.72842622791688, -89.24007671949725")</f>
        <v>37.72842622791688, -89.24007671949725</v>
      </c>
      <c r="D64" s="3" t="str">
        <f>IFERROR(__xludf.DUMMYFUNCTION("""COMPUTED_VALUE"""),"1815 W Main St")</f>
        <v>1815 W Main St</v>
      </c>
      <c r="E64" s="3"/>
      <c r="F64" s="3" t="str">
        <f>IFERROR(__xludf.DUMMYFUNCTION("""COMPUTED_VALUE"""),"Carbondale")</f>
        <v>Carbondale</v>
      </c>
      <c r="G64" s="3" t="str">
        <f>IFERROR(__xludf.DUMMYFUNCTION("""COMPUTED_VALUE"""),"IL")</f>
        <v>IL</v>
      </c>
      <c r="H64" s="4">
        <f>IFERROR(__xludf.DUMMYFUNCTION("""COMPUTED_VALUE"""),62901.0)</f>
        <v>62901</v>
      </c>
      <c r="I64" s="8">
        <f>IFERROR(__xludf.DUMMYFUNCTION("""COMPUTED_VALUE"""),43101.0)</f>
        <v>43101</v>
      </c>
      <c r="J64" s="3"/>
      <c r="K64" s="3" t="str">
        <f>IFERROR(__xludf.DUMMYFUNCTION("""COMPUTED_VALUE"""),"Monday - Sunday")</f>
        <v>Monday - Sunday</v>
      </c>
      <c r="L64" s="3" t="str">
        <f>IFERROR(__xludf.DUMMYFUNCTION("""COMPUTED_VALUE"""),"08:00 AM - 09:00 PM")</f>
        <v>08:00 AM - 09:00 PM</v>
      </c>
      <c r="M64" s="3"/>
      <c r="N64" s="6" t="str">
        <f>IFERROR(__xludf.DUMMYFUNCTION("""COMPUTED_VALUE"""),"https://www.neighborhood.coop/")</f>
        <v>https://www.neighborhood.coop/</v>
      </c>
      <c r="O64" s="3"/>
      <c r="P64" s="3"/>
      <c r="Q64" s="3" t="str">
        <f>IFERROR(__xludf.DUMMYFUNCTION("""COMPUTED_VALUE"""),"Southern IL")</f>
        <v>Southern IL</v>
      </c>
      <c r="R64" s="3" t="str">
        <f>IFERROR(__xludf.DUMMYFUNCTION("""COMPUTED_VALUE"""),"$25")</f>
        <v>$25</v>
      </c>
    </row>
    <row r="65">
      <c r="A65" s="3" t="str">
        <f>IFERROR(__xludf.DUMMYFUNCTION("""COMPUTED_VALUE"""),"NOSH Good Mood Food")</f>
        <v>NOSH Good Mood Food</v>
      </c>
      <c r="B65" s="3" t="str">
        <f>IFERROR(__xludf.DUMMYFUNCTION("""COMPUTED_VALUE"""),"Neighborhood Grocer/Small Grocery Store")</f>
        <v>Neighborhood Grocer/Small Grocery Store</v>
      </c>
      <c r="C65" s="3" t="str">
        <f>IFERROR(__xludf.DUMMYFUNCTION("""COMPUTED_VALUE"""),"41.44400833076638, -90.15348487408556")</f>
        <v>41.44400833076638, -90.15348487408556</v>
      </c>
      <c r="D65" s="3" t="str">
        <f>IFERROR(__xludf.DUMMYFUNCTION("""COMPUTED_VALUE"""),"804 S Oakwood Ave")</f>
        <v>804 S Oakwood Ave</v>
      </c>
      <c r="E65" s="3"/>
      <c r="F65" s="3" t="str">
        <f>IFERROR(__xludf.DUMMYFUNCTION("""COMPUTED_VALUE"""),"Geneseo")</f>
        <v>Geneseo</v>
      </c>
      <c r="G65" s="3" t="str">
        <f>IFERROR(__xludf.DUMMYFUNCTION("""COMPUTED_VALUE"""),"IL")</f>
        <v>IL</v>
      </c>
      <c r="H65" s="4">
        <f>IFERROR(__xludf.DUMMYFUNCTION("""COMPUTED_VALUE"""),61254.0)</f>
        <v>61254</v>
      </c>
      <c r="I65" s="8">
        <f>IFERROR(__xludf.DUMMYFUNCTION("""COMPUTED_VALUE"""),45741.0)</f>
        <v>45741</v>
      </c>
      <c r="J65" s="3"/>
      <c r="K65" s="3" t="str">
        <f>IFERROR(__xludf.DUMMYFUNCTION("""COMPUTED_VALUE"""),"Monday - Friday, Saturday")</f>
        <v>Monday - Friday, Saturday</v>
      </c>
      <c r="L65" s="3" t="str">
        <f>IFERROR(__xludf.DUMMYFUNCTION("""COMPUTED_VALUE"""),"08:00 AM - 06:00 PM, 09:00AM - 02:00PM")</f>
        <v>08:00 AM - 06:00 PM, 09:00AM - 02:00PM</v>
      </c>
      <c r="M65" s="3"/>
      <c r="N65" s="6" t="str">
        <f>IFERROR(__xludf.DUMMYFUNCTION("""COMPUTED_VALUE"""),"https://sites.google.com/view/noshgeneseo/home")</f>
        <v>https://sites.google.com/view/noshgeneseo/home</v>
      </c>
      <c r="O65" s="3"/>
      <c r="P65" s="3"/>
      <c r="Q65" s="3" t="str">
        <f>IFERROR(__xludf.DUMMYFUNCTION("""COMPUTED_VALUE"""),"Central IL")</f>
        <v>Central IL</v>
      </c>
      <c r="R65" s="3" t="str">
        <f>IFERROR(__xludf.DUMMYFUNCTION("""COMPUTED_VALUE"""),"$5")</f>
        <v>$5</v>
      </c>
    </row>
    <row r="66">
      <c r="A66" s="3" t="str">
        <f>IFERROR(__xludf.DUMMYFUNCTION("""COMPUTED_VALUE"""),"One Stop Food")</f>
        <v>One Stop Food</v>
      </c>
      <c r="B66" s="3" t="str">
        <f>IFERROR(__xludf.DUMMYFUNCTION("""COMPUTED_VALUE"""),"Full-Service Supermarket")</f>
        <v>Full-Service Supermarket</v>
      </c>
      <c r="C66" s="3" t="str">
        <f>IFERROR(__xludf.DUMMYFUNCTION("""COMPUTED_VALUE"""),"41.82043342676528, -87.59775984789304")</f>
        <v>41.82043342676528, -87.59775984789304</v>
      </c>
      <c r="D66" s="3" t="str">
        <f>IFERROR(__xludf.DUMMYFUNCTION("""COMPUTED_VALUE"""),"4301 S Lake Park Ave")</f>
        <v>4301 S Lake Park Ave</v>
      </c>
      <c r="E66" s="3"/>
      <c r="F66" s="3" t="str">
        <f>IFERROR(__xludf.DUMMYFUNCTION("""COMPUTED_VALUE"""),"Chicago")</f>
        <v>Chicago</v>
      </c>
      <c r="G66" s="3" t="str">
        <f>IFERROR(__xludf.DUMMYFUNCTION("""COMPUTED_VALUE"""),"IL")</f>
        <v>IL</v>
      </c>
      <c r="H66" s="4">
        <f>IFERROR(__xludf.DUMMYFUNCTION("""COMPUTED_VALUE"""),60653.0)</f>
        <v>60653</v>
      </c>
      <c r="I66" s="8">
        <f>IFERROR(__xludf.DUMMYFUNCTION("""COMPUTED_VALUE"""),44501.0)</f>
        <v>44501</v>
      </c>
      <c r="J66" s="3"/>
      <c r="K66" s="3" t="str">
        <f>IFERROR(__xludf.DUMMYFUNCTION("""COMPUTED_VALUE"""),"Monday - Sunday")</f>
        <v>Monday - Sunday</v>
      </c>
      <c r="L66" s="3" t="str">
        <f>IFERROR(__xludf.DUMMYFUNCTION("""COMPUTED_VALUE"""),"08:00 AM - 08:00 PM")</f>
        <v>08:00 AM - 08:00 PM</v>
      </c>
      <c r="M66" s="3"/>
      <c r="N66" s="6" t="str">
        <f>IFERROR(__xludf.DUMMYFUNCTION("""COMPUTED_VALUE"""),"https://onestopfoods.com/")</f>
        <v>https://onestopfoods.com/</v>
      </c>
      <c r="O66" s="3"/>
      <c r="P66" s="3"/>
      <c r="Q66" s="3" t="str">
        <f>IFERROR(__xludf.DUMMYFUNCTION("""COMPUTED_VALUE"""),"Chicago")</f>
        <v>Chicago</v>
      </c>
      <c r="R66" s="3" t="str">
        <f>IFERROR(__xludf.DUMMYFUNCTION("""COMPUTED_VALUE"""),"$5")</f>
        <v>$5</v>
      </c>
    </row>
    <row r="67">
      <c r="A67" s="3" t="str">
        <f>IFERROR(__xludf.DUMMYFUNCTION("""COMPUTED_VALUE"""),"Save A Lot #61315")</f>
        <v>Save A Lot #61315</v>
      </c>
      <c r="B67" s="3" t="str">
        <f>IFERROR(__xludf.DUMMYFUNCTION("""COMPUTED_VALUE"""),"Mid-sized Grocery Store")</f>
        <v>Mid-sized Grocery Store</v>
      </c>
      <c r="C67" s="3" t="str">
        <f>IFERROR(__xludf.DUMMYFUNCTION("""COMPUTED_VALUE"""),"41.87627272513586, -87.72608569456884")</f>
        <v>41.87627272513586, -87.72608569456884</v>
      </c>
      <c r="D67" s="3" t="str">
        <f>IFERROR(__xludf.DUMMYFUNCTION("""COMPUTED_VALUE"""),"420 S Pulaski ")</f>
        <v>420 S Pulaski </v>
      </c>
      <c r="E67" s="3"/>
      <c r="F67" s="3" t="str">
        <f>IFERROR(__xludf.DUMMYFUNCTION("""COMPUTED_VALUE"""),"Chicago")</f>
        <v>Chicago</v>
      </c>
      <c r="G67" s="3" t="str">
        <f>IFERROR(__xludf.DUMMYFUNCTION("""COMPUTED_VALUE"""),"IL")</f>
        <v>IL</v>
      </c>
      <c r="H67" s="4">
        <f>IFERROR(__xludf.DUMMYFUNCTION("""COMPUTED_VALUE"""),60624.0)</f>
        <v>60624</v>
      </c>
      <c r="I67" s="8">
        <f>IFERROR(__xludf.DUMMYFUNCTION("""COMPUTED_VALUE"""),45536.0)</f>
        <v>45536</v>
      </c>
      <c r="J67" s="3"/>
      <c r="K67" s="3" t="str">
        <f>IFERROR(__xludf.DUMMYFUNCTION("""COMPUTED_VALUE"""),"Monday - Sunday")</f>
        <v>Monday - Sunday</v>
      </c>
      <c r="L67" s="3" t="str">
        <f>IFERROR(__xludf.DUMMYFUNCTION("""COMPUTED_VALUE"""),"08:00 AM - 09:00 PM")</f>
        <v>08:00 AM - 09:00 PM</v>
      </c>
      <c r="M67" s="3"/>
      <c r="N67" s="6" t="str">
        <f>IFERROR(__xludf.DUMMYFUNCTION("""COMPUTED_VALUE"""),"https://savealot.com/stores/61315?utm_campaign=gmb&amp;utm_medium=organic&amp;utm_source=google")</f>
        <v>https://savealot.com/stores/61315?utm_campaign=gmb&amp;utm_medium=organic&amp;utm_source=google</v>
      </c>
      <c r="O67" s="3"/>
      <c r="P67" s="3"/>
      <c r="Q67" s="3" t="str">
        <f>IFERROR(__xludf.DUMMYFUNCTION("""COMPUTED_VALUE"""),"Chicago")</f>
        <v>Chicago</v>
      </c>
      <c r="R67" s="3" t="str">
        <f>IFERROR(__xludf.DUMMYFUNCTION("""COMPUTED_VALUE"""),"$5")</f>
        <v>$5</v>
      </c>
    </row>
    <row r="68">
      <c r="A68" s="3" t="str">
        <f>IFERROR(__xludf.DUMMYFUNCTION("""COMPUTED_VALUE"""),"Sugar Beet Food Co-op")</f>
        <v>Sugar Beet Food Co-op</v>
      </c>
      <c r="B68" s="3" t="str">
        <f>IFERROR(__xludf.DUMMYFUNCTION("""COMPUTED_VALUE"""),"Food Co-op")</f>
        <v>Food Co-op</v>
      </c>
      <c r="C68" s="3" t="str">
        <f>IFERROR(__xludf.DUMMYFUNCTION("""COMPUTED_VALUE"""),"41.88007076889285, -87.79524981917811")</f>
        <v>41.88007076889285, -87.79524981917811</v>
      </c>
      <c r="D68" s="3" t="str">
        <f>IFERROR(__xludf.DUMMYFUNCTION("""COMPUTED_VALUE"""),"812 Madison")</f>
        <v>812 Madison</v>
      </c>
      <c r="E68" s="3"/>
      <c r="F68" s="3" t="str">
        <f>IFERROR(__xludf.DUMMYFUNCTION("""COMPUTED_VALUE"""),"Oak Park")</f>
        <v>Oak Park</v>
      </c>
      <c r="G68" s="3" t="str">
        <f>IFERROR(__xludf.DUMMYFUNCTION("""COMPUTED_VALUE"""),"IL")</f>
        <v>IL</v>
      </c>
      <c r="H68" s="4">
        <f>IFERROR(__xludf.DUMMYFUNCTION("""COMPUTED_VALUE"""),60302.0)</f>
        <v>60302</v>
      </c>
      <c r="I68" s="8">
        <f>IFERROR(__xludf.DUMMYFUNCTION("""COMPUTED_VALUE"""),44256.0)</f>
        <v>44256</v>
      </c>
      <c r="J68" s="3"/>
      <c r="K68" s="3" t="str">
        <f>IFERROR(__xludf.DUMMYFUNCTION("""COMPUTED_VALUE"""),"Monday - Sunday")</f>
        <v>Monday - Sunday</v>
      </c>
      <c r="L68" s="3" t="str">
        <f>IFERROR(__xludf.DUMMYFUNCTION("""COMPUTED_VALUE"""),"08:00 AM - 08:00 PM")</f>
        <v>08:00 AM - 08:00 PM</v>
      </c>
      <c r="M68" s="3"/>
      <c r="N68" s="6" t="str">
        <f>IFERROR(__xludf.DUMMYFUNCTION("""COMPUTED_VALUE"""),"https://www.sugarbeet.coop/")</f>
        <v>https://www.sugarbeet.coop/</v>
      </c>
      <c r="O68" s="3"/>
      <c r="P68" s="3"/>
      <c r="Q68" s="3" t="str">
        <f>IFERROR(__xludf.DUMMYFUNCTION("""COMPUTED_VALUE"""),"Chicago Suburbs")</f>
        <v>Chicago Suburbs</v>
      </c>
      <c r="R68" s="3" t="str">
        <f>IFERROR(__xludf.DUMMYFUNCTION("""COMPUTED_VALUE"""),"$10")</f>
        <v>$10</v>
      </c>
    </row>
    <row r="69">
      <c r="A69" s="3" t="str">
        <f>IFERROR(__xludf.DUMMYFUNCTION("""COMPUTED_VALUE"""),"Tony's Fresh Market: Bolingbrook")</f>
        <v>Tony's Fresh Market: Bolingbrook</v>
      </c>
      <c r="B69" s="3" t="str">
        <f>IFERROR(__xludf.DUMMYFUNCTION("""COMPUTED_VALUE"""),"Full-Service Supermarket")</f>
        <v>Full-Service Supermarket</v>
      </c>
      <c r="C69" s="3" t="str">
        <f>IFERROR(__xludf.DUMMYFUNCTION("""COMPUTED_VALUE"""),"41.69230420180381, -88.07027927357541")</f>
        <v>41.69230420180381, -88.07027927357541</v>
      </c>
      <c r="D69" s="3" t="str">
        <f>IFERROR(__xludf.DUMMYFUNCTION("""COMPUTED_VALUE"""),"271 S Bolingbrook Dr")</f>
        <v>271 S Bolingbrook Dr</v>
      </c>
      <c r="E69" s="3"/>
      <c r="F69" s="3" t="str">
        <f>IFERROR(__xludf.DUMMYFUNCTION("""COMPUTED_VALUE"""),"Bolingbrook")</f>
        <v>Bolingbrook</v>
      </c>
      <c r="G69" s="3" t="str">
        <f>IFERROR(__xludf.DUMMYFUNCTION("""COMPUTED_VALUE"""),"IL")</f>
        <v>IL</v>
      </c>
      <c r="H69" s="4">
        <f>IFERROR(__xludf.DUMMYFUNCTION("""COMPUTED_VALUE"""),60440.0)</f>
        <v>60440</v>
      </c>
      <c r="I69" s="8">
        <f>IFERROR(__xludf.DUMMYFUNCTION("""COMPUTED_VALUE"""),45663.0)</f>
        <v>45663</v>
      </c>
      <c r="J69" s="3"/>
      <c r="K69" s="3" t="str">
        <f>IFERROR(__xludf.DUMMYFUNCTION("""COMPUTED_VALUE"""),"Monday - Sunday")</f>
        <v>Monday - Sunday</v>
      </c>
      <c r="L69" s="3" t="str">
        <f>IFERROR(__xludf.DUMMYFUNCTION("""COMPUTED_VALUE"""),"07:00 AM - 10:00 PM")</f>
        <v>07:00 AM - 10:00 PM</v>
      </c>
      <c r="M69" s="3"/>
      <c r="N69" s="6" t="str">
        <f>IFERROR(__xludf.DUMMYFUNCTION("""COMPUTED_VALUE"""),"https://www.tonysfreshmarket.com/")</f>
        <v>https://www.tonysfreshmarket.com/</v>
      </c>
      <c r="O69" s="3"/>
      <c r="P69" s="3"/>
      <c r="Q69" s="3" t="str">
        <f>IFERROR(__xludf.DUMMYFUNCTION("""COMPUTED_VALUE"""),"Chicago Suburbs")</f>
        <v>Chicago Suburbs</v>
      </c>
      <c r="R69" s="3" t="str">
        <f>IFERROR(__xludf.DUMMYFUNCTION("""COMPUTED_VALUE"""),"$5")</f>
        <v>$5</v>
      </c>
    </row>
    <row r="70">
      <c r="A70" s="3" t="str">
        <f>IFERROR(__xludf.DUMMYFUNCTION("""COMPUTED_VALUE"""),"Tony's Fresh Market: Joliet")</f>
        <v>Tony's Fresh Market: Joliet</v>
      </c>
      <c r="B70" s="3" t="str">
        <f>IFERROR(__xludf.DUMMYFUNCTION("""COMPUTED_VALUE"""),"Full-Service Supermarket")</f>
        <v>Full-Service Supermarket</v>
      </c>
      <c r="C70" s="3" t="str">
        <f>IFERROR(__xludf.DUMMYFUNCTION("""COMPUTED_VALUE"""),"41.52478391391678, -88.1259469549627")</f>
        <v>41.52478391391678, -88.1259469549627</v>
      </c>
      <c r="D70" s="3" t="str">
        <f>IFERROR(__xludf.DUMMYFUNCTION("""COMPUTED_VALUE"""),"1801 W Jefferson")</f>
        <v>1801 W Jefferson</v>
      </c>
      <c r="E70" s="3"/>
      <c r="F70" s="3" t="str">
        <f>IFERROR(__xludf.DUMMYFUNCTION("""COMPUTED_VALUE"""),"Joliet")</f>
        <v>Joliet</v>
      </c>
      <c r="G70" s="3" t="str">
        <f>IFERROR(__xludf.DUMMYFUNCTION("""COMPUTED_VALUE"""),"IL")</f>
        <v>IL</v>
      </c>
      <c r="H70" s="4">
        <f>IFERROR(__xludf.DUMMYFUNCTION("""COMPUTED_VALUE"""),60435.0)</f>
        <v>60435</v>
      </c>
      <c r="I70" s="8">
        <f>IFERROR(__xludf.DUMMYFUNCTION("""COMPUTED_VALUE"""),45663.0)</f>
        <v>45663</v>
      </c>
      <c r="J70" s="3"/>
      <c r="K70" s="3" t="str">
        <f>IFERROR(__xludf.DUMMYFUNCTION("""COMPUTED_VALUE"""),"Monday - Sunday")</f>
        <v>Monday - Sunday</v>
      </c>
      <c r="L70" s="3" t="str">
        <f>IFERROR(__xludf.DUMMYFUNCTION("""COMPUTED_VALUE"""),"07:00 AM - 10:00 PM")</f>
        <v>07:00 AM - 10:00 PM</v>
      </c>
      <c r="M70" s="3"/>
      <c r="N70" s="6" t="str">
        <f>IFERROR(__xludf.DUMMYFUNCTION("""COMPUTED_VALUE"""),"https://www.tonysfreshmarket.com/")</f>
        <v>https://www.tonysfreshmarket.com/</v>
      </c>
      <c r="O70" s="3"/>
      <c r="P70" s="3"/>
      <c r="Q70" s="3" t="str">
        <f>IFERROR(__xludf.DUMMYFUNCTION("""COMPUTED_VALUE"""),"Chicago Suburbs")</f>
        <v>Chicago Suburbs</v>
      </c>
      <c r="R70" s="3" t="str">
        <f>IFERROR(__xludf.DUMMYFUNCTION("""COMPUTED_VALUE"""),"$5")</f>
        <v>$5</v>
      </c>
    </row>
    <row r="71">
      <c r="A71" s="3" t="str">
        <f>IFERROR(__xludf.DUMMYFUNCTION("""COMPUTED_VALUE"""),"Tony's Fresh Market: Plainfield")</f>
        <v>Tony's Fresh Market: Plainfield</v>
      </c>
      <c r="B71" s="3" t="str">
        <f>IFERROR(__xludf.DUMMYFUNCTION("""COMPUTED_VALUE"""),"Full-Service Supermarket")</f>
        <v>Full-Service Supermarket</v>
      </c>
      <c r="C71" s="3" t="str">
        <f>IFERROR(__xludf.DUMMYFUNCTION("""COMPUTED_VALUE"""),"41.56310947678099, -88.19844863028565")</f>
        <v>41.56310947678099, -88.19844863028565</v>
      </c>
      <c r="D71" s="3" t="str">
        <f>IFERROR(__xludf.DUMMYFUNCTION("""COMPUTED_VALUE"""),"2300 S Route 59")</f>
        <v>2300 S Route 59</v>
      </c>
      <c r="E71" s="3"/>
      <c r="F71" s="3" t="str">
        <f>IFERROR(__xludf.DUMMYFUNCTION("""COMPUTED_VALUE"""),"Plainfield")</f>
        <v>Plainfield</v>
      </c>
      <c r="G71" s="3" t="str">
        <f>IFERROR(__xludf.DUMMYFUNCTION("""COMPUTED_VALUE"""),"IL")</f>
        <v>IL</v>
      </c>
      <c r="H71" s="4">
        <f>IFERROR(__xludf.DUMMYFUNCTION("""COMPUTED_VALUE"""),60586.0)</f>
        <v>60586</v>
      </c>
      <c r="I71" s="8">
        <f>IFERROR(__xludf.DUMMYFUNCTION("""COMPUTED_VALUE"""),45663.0)</f>
        <v>45663</v>
      </c>
      <c r="J71" s="3"/>
      <c r="K71" s="3" t="str">
        <f>IFERROR(__xludf.DUMMYFUNCTION("""COMPUTED_VALUE"""),"Monday - Sunday")</f>
        <v>Monday - Sunday</v>
      </c>
      <c r="L71" s="3" t="str">
        <f>IFERROR(__xludf.DUMMYFUNCTION("""COMPUTED_VALUE"""),"07:00 AM - 10:00 PM")</f>
        <v>07:00 AM - 10:00 PM</v>
      </c>
      <c r="M71" s="3"/>
      <c r="N71" s="6" t="str">
        <f>IFERROR(__xludf.DUMMYFUNCTION("""COMPUTED_VALUE"""),"https://www.tonysfreshmarket.com/")</f>
        <v>https://www.tonysfreshmarket.com/</v>
      </c>
      <c r="O71" s="3"/>
      <c r="P71" s="3"/>
      <c r="Q71" s="3" t="str">
        <f>IFERROR(__xludf.DUMMYFUNCTION("""COMPUTED_VALUE"""),"Chicago Suburbs")</f>
        <v>Chicago Suburbs</v>
      </c>
      <c r="R71" s="3" t="str">
        <f>IFERROR(__xludf.DUMMYFUNCTION("""COMPUTED_VALUE"""),"$5")</f>
        <v>$5</v>
      </c>
    </row>
    <row r="72">
      <c r="H72" s="4"/>
      <c r="I72" s="4"/>
    </row>
    <row r="73">
      <c r="H73" s="4"/>
      <c r="I73" s="4"/>
    </row>
    <row r="74">
      <c r="H74" s="4"/>
      <c r="I74" s="4"/>
    </row>
    <row r="75">
      <c r="H75" s="4"/>
      <c r="I75" s="4"/>
    </row>
    <row r="76">
      <c r="H76" s="4"/>
      <c r="I76" s="4"/>
    </row>
    <row r="77">
      <c r="H77" s="4"/>
      <c r="I77" s="4"/>
    </row>
    <row r="78">
      <c r="H78" s="4"/>
      <c r="I78" s="4"/>
    </row>
    <row r="79">
      <c r="H79" s="4"/>
      <c r="I79" s="4"/>
    </row>
    <row r="80">
      <c r="H80" s="4"/>
      <c r="I80" s="4"/>
    </row>
    <row r="81">
      <c r="H81" s="4"/>
      <c r="I81" s="4"/>
    </row>
    <row r="82">
      <c r="H82" s="4"/>
      <c r="I82" s="4"/>
    </row>
    <row r="83">
      <c r="H83" s="4"/>
      <c r="I83" s="4"/>
    </row>
    <row r="84">
      <c r="H84" s="4"/>
      <c r="I84" s="4"/>
    </row>
    <row r="85">
      <c r="H85" s="4"/>
      <c r="I85" s="4"/>
    </row>
    <row r="86">
      <c r="H86" s="4"/>
      <c r="I86" s="4"/>
    </row>
    <row r="87">
      <c r="H87" s="4"/>
      <c r="I87" s="4"/>
    </row>
    <row r="88">
      <c r="H88" s="4"/>
      <c r="I88" s="4"/>
    </row>
    <row r="89">
      <c r="H89" s="4"/>
      <c r="I89" s="4"/>
    </row>
    <row r="90">
      <c r="H90" s="4"/>
      <c r="I90" s="4"/>
    </row>
    <row r="91">
      <c r="H91" s="4"/>
      <c r="I91" s="4"/>
    </row>
    <row r="92">
      <c r="H92" s="4"/>
      <c r="I92" s="4"/>
    </row>
    <row r="93">
      <c r="H93" s="4"/>
      <c r="I93" s="4"/>
    </row>
    <row r="94">
      <c r="H94" s="4"/>
      <c r="I94" s="4"/>
    </row>
    <row r="95">
      <c r="H95" s="4"/>
      <c r="I95" s="4"/>
    </row>
    <row r="96">
      <c r="H96" s="4"/>
      <c r="I96" s="4"/>
    </row>
    <row r="97">
      <c r="H97" s="4"/>
      <c r="I97" s="4"/>
    </row>
    <row r="98">
      <c r="H98" s="4"/>
      <c r="I98" s="4"/>
    </row>
    <row r="99">
      <c r="H99" s="4"/>
      <c r="I99" s="4"/>
    </row>
    <row r="100">
      <c r="H100" s="4"/>
      <c r="I100" s="4"/>
    </row>
    <row r="101">
      <c r="H101" s="4"/>
      <c r="I101" s="4"/>
    </row>
    <row r="102">
      <c r="H102" s="4"/>
      <c r="I102" s="4"/>
    </row>
    <row r="103">
      <c r="H103" s="4"/>
      <c r="I103" s="4"/>
    </row>
    <row r="104">
      <c r="H104" s="4"/>
      <c r="I104" s="4"/>
    </row>
    <row r="105">
      <c r="H105" s="4"/>
      <c r="I105" s="4"/>
    </row>
    <row r="106">
      <c r="H106" s="4"/>
      <c r="I106" s="4"/>
    </row>
    <row r="107">
      <c r="H107" s="4"/>
      <c r="I107" s="4"/>
    </row>
    <row r="108">
      <c r="H108" s="4"/>
      <c r="I108" s="4"/>
    </row>
    <row r="109">
      <c r="H109" s="4"/>
      <c r="I109" s="4"/>
    </row>
    <row r="110">
      <c r="H110" s="4"/>
      <c r="I110" s="4"/>
    </row>
    <row r="111">
      <c r="H111" s="4"/>
      <c r="I111" s="4"/>
    </row>
    <row r="112">
      <c r="H112" s="4"/>
      <c r="I112" s="4"/>
    </row>
    <row r="113">
      <c r="H113" s="4"/>
      <c r="I113" s="4"/>
    </row>
    <row r="114">
      <c r="H114" s="4"/>
      <c r="I114" s="4"/>
    </row>
    <row r="115">
      <c r="H115" s="4"/>
      <c r="I115" s="4"/>
    </row>
    <row r="116">
      <c r="H116" s="4"/>
      <c r="I116" s="4"/>
    </row>
    <row r="117">
      <c r="H117" s="4"/>
      <c r="I117" s="4"/>
    </row>
    <row r="118">
      <c r="H118" s="4"/>
      <c r="I118" s="4"/>
    </row>
    <row r="119">
      <c r="H119" s="4"/>
      <c r="I119" s="4"/>
    </row>
    <row r="120">
      <c r="H120" s="4"/>
      <c r="I120" s="4"/>
    </row>
    <row r="121">
      <c r="H121" s="4"/>
      <c r="I121" s="4"/>
    </row>
    <row r="122">
      <c r="H122" s="4"/>
      <c r="I122" s="4"/>
    </row>
    <row r="123">
      <c r="H123" s="4"/>
      <c r="I123" s="4"/>
    </row>
    <row r="124">
      <c r="H124" s="4"/>
      <c r="I124" s="4"/>
    </row>
    <row r="125">
      <c r="H125" s="4"/>
      <c r="I125" s="4"/>
    </row>
    <row r="126">
      <c r="H126" s="4"/>
      <c r="I126" s="4"/>
    </row>
    <row r="127">
      <c r="H127" s="4"/>
      <c r="I127" s="4"/>
    </row>
    <row r="128">
      <c r="H128" s="4"/>
      <c r="I128" s="4"/>
    </row>
    <row r="129">
      <c r="H129" s="4"/>
      <c r="I129" s="4"/>
    </row>
    <row r="130">
      <c r="H130" s="4"/>
      <c r="I130" s="4"/>
    </row>
    <row r="131">
      <c r="H131" s="4"/>
      <c r="I131" s="4"/>
    </row>
    <row r="132">
      <c r="H132" s="4"/>
      <c r="I132" s="4"/>
    </row>
    <row r="133">
      <c r="H133" s="4"/>
      <c r="I133" s="4"/>
    </row>
    <row r="134">
      <c r="H134" s="4"/>
      <c r="I134" s="4"/>
    </row>
    <row r="135">
      <c r="H135" s="4"/>
      <c r="I135" s="4"/>
    </row>
    <row r="136">
      <c r="H136" s="4"/>
      <c r="I136" s="4"/>
    </row>
    <row r="137">
      <c r="H137" s="4"/>
      <c r="I137" s="4"/>
    </row>
    <row r="138">
      <c r="H138" s="4"/>
      <c r="I138" s="4"/>
    </row>
    <row r="139">
      <c r="H139" s="4"/>
      <c r="I139" s="4"/>
    </row>
    <row r="140">
      <c r="H140" s="4"/>
      <c r="I140" s="4"/>
    </row>
    <row r="141">
      <c r="H141" s="4"/>
      <c r="I141" s="4"/>
    </row>
    <row r="142">
      <c r="H142" s="4"/>
      <c r="I142" s="4"/>
    </row>
    <row r="143">
      <c r="H143" s="4"/>
      <c r="I143" s="4"/>
    </row>
    <row r="144">
      <c r="H144" s="4"/>
      <c r="I144" s="4"/>
    </row>
    <row r="145">
      <c r="H145" s="4"/>
      <c r="I145" s="4"/>
    </row>
    <row r="146">
      <c r="H146" s="4"/>
      <c r="I146" s="4"/>
    </row>
    <row r="147">
      <c r="H147" s="4"/>
      <c r="I147" s="4"/>
    </row>
    <row r="148">
      <c r="H148" s="4"/>
      <c r="I148" s="4"/>
    </row>
    <row r="149">
      <c r="H149" s="4"/>
      <c r="I149" s="4"/>
    </row>
    <row r="150">
      <c r="H150" s="4"/>
      <c r="I150" s="4"/>
    </row>
    <row r="151">
      <c r="H151" s="4"/>
      <c r="I151" s="4"/>
    </row>
    <row r="152">
      <c r="H152" s="4"/>
      <c r="I152" s="4"/>
    </row>
    <row r="153">
      <c r="H153" s="4"/>
      <c r="I153" s="4"/>
    </row>
    <row r="154">
      <c r="H154" s="4"/>
      <c r="I154" s="4"/>
    </row>
    <row r="155">
      <c r="H155" s="4"/>
      <c r="I155" s="4"/>
    </row>
    <row r="156">
      <c r="H156" s="4"/>
      <c r="I156" s="4"/>
    </row>
    <row r="157">
      <c r="H157" s="4"/>
      <c r="I157" s="4"/>
    </row>
    <row r="158">
      <c r="H158" s="4"/>
      <c r="I158" s="4"/>
    </row>
    <row r="159">
      <c r="H159" s="4"/>
      <c r="I159" s="4"/>
    </row>
    <row r="160">
      <c r="H160" s="4"/>
      <c r="I160" s="4"/>
    </row>
    <row r="161">
      <c r="H161" s="4"/>
      <c r="I161" s="4"/>
    </row>
    <row r="162">
      <c r="H162" s="4"/>
      <c r="I162" s="4"/>
    </row>
    <row r="163">
      <c r="H163" s="4"/>
      <c r="I163" s="4"/>
    </row>
    <row r="164">
      <c r="H164" s="4"/>
      <c r="I164" s="4"/>
    </row>
    <row r="165">
      <c r="H165" s="4"/>
      <c r="I165" s="4"/>
    </row>
    <row r="166">
      <c r="H166" s="4"/>
      <c r="I166" s="4"/>
    </row>
    <row r="167">
      <c r="H167" s="4"/>
      <c r="I167" s="4"/>
    </row>
    <row r="168">
      <c r="H168" s="4"/>
      <c r="I168" s="4"/>
    </row>
    <row r="169">
      <c r="H169" s="4"/>
      <c r="I169" s="4"/>
    </row>
    <row r="170">
      <c r="H170" s="4"/>
      <c r="I170" s="4"/>
    </row>
    <row r="171">
      <c r="H171" s="4"/>
      <c r="I171" s="4"/>
    </row>
    <row r="172">
      <c r="H172" s="4"/>
      <c r="I172" s="4"/>
    </row>
    <row r="173">
      <c r="H173" s="4"/>
      <c r="I173" s="4"/>
    </row>
    <row r="174">
      <c r="H174" s="4"/>
      <c r="I174" s="4"/>
    </row>
    <row r="175">
      <c r="H175" s="4"/>
      <c r="I175" s="4"/>
    </row>
    <row r="176">
      <c r="H176" s="4"/>
      <c r="I176" s="4"/>
    </row>
    <row r="177">
      <c r="H177" s="4"/>
      <c r="I177" s="4"/>
    </row>
    <row r="178">
      <c r="H178" s="4"/>
      <c r="I178" s="4"/>
    </row>
    <row r="179">
      <c r="H179" s="4"/>
      <c r="I179" s="4"/>
    </row>
    <row r="180">
      <c r="H180" s="4"/>
      <c r="I180" s="4"/>
    </row>
    <row r="181">
      <c r="H181" s="4"/>
      <c r="I181" s="4"/>
    </row>
    <row r="182">
      <c r="H182" s="4"/>
      <c r="I182" s="4"/>
    </row>
    <row r="183">
      <c r="H183" s="4"/>
      <c r="I183" s="4"/>
    </row>
    <row r="184">
      <c r="H184" s="4"/>
      <c r="I184" s="4"/>
    </row>
    <row r="185">
      <c r="H185" s="4"/>
      <c r="I185" s="4"/>
    </row>
    <row r="186">
      <c r="H186" s="4"/>
      <c r="I186" s="4"/>
    </row>
    <row r="187">
      <c r="H187" s="4"/>
      <c r="I187" s="4"/>
    </row>
    <row r="188">
      <c r="H188" s="4"/>
      <c r="I188" s="4"/>
    </row>
    <row r="189">
      <c r="H189" s="4"/>
      <c r="I189" s="4"/>
    </row>
    <row r="190">
      <c r="H190" s="4"/>
      <c r="I190" s="4"/>
    </row>
    <row r="191">
      <c r="H191" s="4"/>
      <c r="I191" s="4"/>
    </row>
    <row r="192">
      <c r="H192" s="4"/>
      <c r="I192" s="4"/>
    </row>
    <row r="193">
      <c r="H193" s="4"/>
      <c r="I193" s="4"/>
    </row>
    <row r="194">
      <c r="H194" s="4"/>
      <c r="I194" s="4"/>
    </row>
    <row r="195">
      <c r="H195" s="4"/>
      <c r="I195" s="4"/>
    </row>
    <row r="196">
      <c r="H196" s="4"/>
      <c r="I196" s="4"/>
    </row>
    <row r="197">
      <c r="H197" s="4"/>
      <c r="I197" s="4"/>
    </row>
    <row r="198">
      <c r="H198" s="4"/>
      <c r="I198" s="4"/>
    </row>
    <row r="199">
      <c r="H199" s="4"/>
      <c r="I199" s="4"/>
    </row>
    <row r="200">
      <c r="H200" s="4"/>
      <c r="I200" s="4"/>
    </row>
    <row r="201">
      <c r="H201" s="4"/>
      <c r="I201" s="4"/>
    </row>
    <row r="202">
      <c r="H202" s="4"/>
      <c r="I202" s="4"/>
    </row>
    <row r="203">
      <c r="H203" s="4"/>
      <c r="I203" s="4"/>
    </row>
    <row r="204">
      <c r="H204" s="4"/>
      <c r="I204" s="4"/>
    </row>
    <row r="205">
      <c r="H205" s="4"/>
      <c r="I205" s="4"/>
    </row>
    <row r="206">
      <c r="H206" s="4"/>
      <c r="I206" s="4"/>
    </row>
    <row r="207">
      <c r="H207" s="4"/>
      <c r="I207" s="4"/>
    </row>
    <row r="208">
      <c r="H208" s="4"/>
      <c r="I208" s="4"/>
    </row>
    <row r="209">
      <c r="H209" s="4"/>
      <c r="I209" s="4"/>
    </row>
    <row r="210">
      <c r="H210" s="4"/>
      <c r="I210" s="4"/>
    </row>
    <row r="211">
      <c r="H211" s="4"/>
      <c r="I211" s="4"/>
    </row>
    <row r="212">
      <c r="H212" s="4"/>
      <c r="I212" s="4"/>
    </row>
    <row r="213">
      <c r="H213" s="4"/>
      <c r="I213" s="4"/>
    </row>
    <row r="214">
      <c r="H214" s="4"/>
      <c r="I214" s="4"/>
    </row>
    <row r="215">
      <c r="H215" s="4"/>
      <c r="I215" s="4"/>
    </row>
    <row r="216">
      <c r="H216" s="4"/>
      <c r="I216" s="4"/>
    </row>
    <row r="217">
      <c r="H217" s="4"/>
      <c r="I217" s="4"/>
    </row>
    <row r="218">
      <c r="H218" s="4"/>
      <c r="I218" s="4"/>
    </row>
    <row r="219">
      <c r="H219" s="4"/>
      <c r="I219" s="4"/>
    </row>
    <row r="220">
      <c r="H220" s="4"/>
      <c r="I220" s="4"/>
    </row>
    <row r="221">
      <c r="H221" s="4"/>
      <c r="I221" s="4"/>
    </row>
    <row r="222">
      <c r="H222" s="4"/>
      <c r="I222" s="4"/>
    </row>
    <row r="223">
      <c r="H223" s="4"/>
      <c r="I223" s="4"/>
    </row>
    <row r="224">
      <c r="H224" s="4"/>
      <c r="I224" s="4"/>
    </row>
    <row r="225">
      <c r="H225" s="4"/>
      <c r="I225" s="4"/>
    </row>
    <row r="226">
      <c r="H226" s="4"/>
      <c r="I226" s="4"/>
    </row>
    <row r="227">
      <c r="H227" s="4"/>
      <c r="I227" s="4"/>
    </row>
    <row r="228">
      <c r="H228" s="4"/>
      <c r="I228" s="4"/>
    </row>
    <row r="229">
      <c r="H229" s="4"/>
      <c r="I229" s="4"/>
    </row>
    <row r="230">
      <c r="H230" s="4"/>
      <c r="I230" s="4"/>
    </row>
    <row r="231">
      <c r="H231" s="4"/>
      <c r="I231" s="4"/>
    </row>
    <row r="232">
      <c r="H232" s="4"/>
      <c r="I232" s="4"/>
    </row>
    <row r="233">
      <c r="H233" s="4"/>
      <c r="I233" s="4"/>
    </row>
    <row r="234">
      <c r="H234" s="4"/>
      <c r="I234" s="4"/>
    </row>
    <row r="235">
      <c r="H235" s="4"/>
      <c r="I235" s="4"/>
    </row>
    <row r="236">
      <c r="H236" s="4"/>
      <c r="I236" s="4"/>
    </row>
    <row r="237">
      <c r="H237" s="4"/>
      <c r="I237" s="4"/>
    </row>
    <row r="238">
      <c r="H238" s="4"/>
      <c r="I238" s="4"/>
    </row>
    <row r="239">
      <c r="H239" s="4"/>
      <c r="I239" s="4"/>
    </row>
    <row r="240">
      <c r="H240" s="4"/>
      <c r="I240" s="4"/>
    </row>
    <row r="241">
      <c r="H241" s="4"/>
      <c r="I241" s="4"/>
    </row>
    <row r="242">
      <c r="H242" s="4"/>
      <c r="I242" s="4"/>
    </row>
    <row r="243">
      <c r="H243" s="4"/>
      <c r="I243" s="4"/>
    </row>
    <row r="244">
      <c r="H244" s="4"/>
      <c r="I244" s="4"/>
    </row>
    <row r="245">
      <c r="H245" s="4"/>
      <c r="I245" s="4"/>
    </row>
    <row r="246">
      <c r="H246" s="4"/>
      <c r="I246" s="4"/>
    </row>
    <row r="247">
      <c r="H247" s="4"/>
      <c r="I247" s="4"/>
    </row>
    <row r="248">
      <c r="H248" s="4"/>
      <c r="I248" s="4"/>
    </row>
    <row r="249">
      <c r="H249" s="4"/>
      <c r="I249" s="4"/>
    </row>
    <row r="250">
      <c r="H250" s="4"/>
      <c r="I250" s="4"/>
    </row>
    <row r="251">
      <c r="H251" s="4"/>
      <c r="I251" s="4"/>
    </row>
    <row r="252">
      <c r="H252" s="4"/>
      <c r="I252" s="4"/>
    </row>
    <row r="253">
      <c r="H253" s="4"/>
      <c r="I253" s="4"/>
    </row>
    <row r="254">
      <c r="H254" s="4"/>
      <c r="I254" s="4"/>
    </row>
    <row r="255">
      <c r="H255" s="4"/>
      <c r="I255" s="4"/>
    </row>
    <row r="256">
      <c r="H256" s="4"/>
      <c r="I256" s="4"/>
    </row>
    <row r="257">
      <c r="H257" s="4"/>
      <c r="I257" s="4"/>
    </row>
    <row r="258">
      <c r="H258" s="4"/>
      <c r="I258" s="4"/>
    </row>
    <row r="259">
      <c r="H259" s="4"/>
      <c r="I259" s="4"/>
    </row>
    <row r="260">
      <c r="H260" s="4"/>
      <c r="I260" s="4"/>
    </row>
    <row r="261">
      <c r="H261" s="4"/>
      <c r="I261" s="4"/>
    </row>
    <row r="262">
      <c r="H262" s="4"/>
      <c r="I262" s="4"/>
    </row>
    <row r="263">
      <c r="H263" s="4"/>
      <c r="I263" s="4"/>
    </row>
    <row r="264">
      <c r="H264" s="4"/>
      <c r="I264" s="4"/>
    </row>
    <row r="265">
      <c r="H265" s="4"/>
      <c r="I265" s="4"/>
    </row>
    <row r="266">
      <c r="H266" s="4"/>
      <c r="I266" s="4"/>
    </row>
    <row r="267">
      <c r="H267" s="4"/>
      <c r="I267" s="4"/>
    </row>
    <row r="268">
      <c r="H268" s="4"/>
      <c r="I268" s="4"/>
    </row>
    <row r="269">
      <c r="H269" s="4"/>
      <c r="I269" s="4"/>
    </row>
    <row r="270">
      <c r="H270" s="4"/>
      <c r="I270" s="4"/>
    </row>
    <row r="271">
      <c r="H271" s="4"/>
      <c r="I271" s="4"/>
    </row>
    <row r="272">
      <c r="H272" s="4"/>
      <c r="I272" s="4"/>
    </row>
    <row r="273">
      <c r="H273" s="4"/>
      <c r="I273" s="4"/>
    </row>
    <row r="274">
      <c r="H274" s="4"/>
      <c r="I274" s="4"/>
    </row>
    <row r="275">
      <c r="H275" s="4"/>
      <c r="I275" s="4"/>
    </row>
    <row r="276">
      <c r="H276" s="4"/>
      <c r="I276" s="4"/>
    </row>
    <row r="277">
      <c r="H277" s="4"/>
      <c r="I277" s="4"/>
    </row>
    <row r="278">
      <c r="H278" s="4"/>
      <c r="I278" s="4"/>
    </row>
    <row r="279">
      <c r="H279" s="4"/>
      <c r="I279" s="4"/>
    </row>
    <row r="280">
      <c r="H280" s="4"/>
      <c r="I280" s="4"/>
    </row>
    <row r="281">
      <c r="H281" s="4"/>
      <c r="I281" s="4"/>
    </row>
    <row r="282">
      <c r="H282" s="4"/>
      <c r="I282" s="4"/>
    </row>
    <row r="283">
      <c r="H283" s="4"/>
      <c r="I283" s="4"/>
    </row>
    <row r="284">
      <c r="H284" s="4"/>
      <c r="I284" s="4"/>
    </row>
    <row r="285">
      <c r="H285" s="4"/>
      <c r="I285" s="4"/>
    </row>
    <row r="286">
      <c r="H286" s="4"/>
      <c r="I286" s="4"/>
    </row>
    <row r="287">
      <c r="H287" s="4"/>
      <c r="I287" s="4"/>
    </row>
    <row r="288">
      <c r="H288" s="4"/>
      <c r="I288" s="4"/>
    </row>
    <row r="289">
      <c r="H289" s="4"/>
      <c r="I289" s="4"/>
    </row>
    <row r="290">
      <c r="H290" s="4"/>
      <c r="I290" s="4"/>
    </row>
    <row r="291">
      <c r="H291" s="4"/>
      <c r="I291" s="4"/>
    </row>
    <row r="292">
      <c r="H292" s="4"/>
      <c r="I292" s="4"/>
    </row>
    <row r="293">
      <c r="H293" s="4"/>
      <c r="I293" s="4"/>
    </row>
    <row r="294">
      <c r="H294" s="4"/>
      <c r="I294" s="4"/>
    </row>
    <row r="295">
      <c r="H295" s="4"/>
      <c r="I295" s="4"/>
    </row>
    <row r="296">
      <c r="H296" s="4"/>
      <c r="I296" s="4"/>
    </row>
    <row r="297">
      <c r="H297" s="4"/>
      <c r="I297" s="4"/>
    </row>
    <row r="298">
      <c r="H298" s="4"/>
      <c r="I298" s="4"/>
    </row>
    <row r="299">
      <c r="H299" s="4"/>
      <c r="I299" s="4"/>
    </row>
    <row r="300">
      <c r="H300" s="4"/>
      <c r="I300" s="4"/>
    </row>
    <row r="301">
      <c r="H301" s="4"/>
      <c r="I301" s="4"/>
    </row>
    <row r="302">
      <c r="H302" s="4"/>
      <c r="I302" s="4"/>
    </row>
    <row r="303">
      <c r="H303" s="4"/>
      <c r="I303" s="4"/>
    </row>
    <row r="304">
      <c r="H304" s="4"/>
      <c r="I304" s="4"/>
    </row>
    <row r="305">
      <c r="H305" s="4"/>
      <c r="I305" s="4"/>
    </row>
    <row r="306">
      <c r="H306" s="4"/>
      <c r="I306" s="4"/>
    </row>
    <row r="307">
      <c r="H307" s="4"/>
      <c r="I307" s="4"/>
    </row>
    <row r="308">
      <c r="H308" s="4"/>
      <c r="I308" s="4"/>
    </row>
    <row r="309">
      <c r="H309" s="4"/>
      <c r="I309" s="4"/>
    </row>
    <row r="310">
      <c r="H310" s="4"/>
      <c r="I310" s="4"/>
    </row>
    <row r="311">
      <c r="H311" s="4"/>
      <c r="I311" s="4"/>
    </row>
    <row r="312">
      <c r="H312" s="4"/>
      <c r="I312" s="4"/>
    </row>
    <row r="313">
      <c r="H313" s="4"/>
      <c r="I313" s="4"/>
    </row>
    <row r="314">
      <c r="H314" s="4"/>
      <c r="I314" s="4"/>
    </row>
    <row r="315">
      <c r="H315" s="4"/>
      <c r="I315" s="4"/>
    </row>
    <row r="316">
      <c r="H316" s="4"/>
      <c r="I316" s="4"/>
    </row>
    <row r="317">
      <c r="H317" s="4"/>
      <c r="I317" s="4"/>
    </row>
    <row r="318">
      <c r="H318" s="4"/>
      <c r="I318" s="4"/>
    </row>
    <row r="319">
      <c r="H319" s="4"/>
      <c r="I319" s="4"/>
    </row>
    <row r="320">
      <c r="H320" s="4"/>
      <c r="I320" s="4"/>
    </row>
    <row r="321">
      <c r="H321" s="4"/>
      <c r="I321" s="4"/>
    </row>
    <row r="322">
      <c r="H322" s="4"/>
      <c r="I322" s="4"/>
    </row>
    <row r="323">
      <c r="H323" s="4"/>
      <c r="I323" s="4"/>
    </row>
    <row r="324">
      <c r="H324" s="4"/>
      <c r="I324" s="4"/>
    </row>
    <row r="325">
      <c r="H325" s="4"/>
      <c r="I325" s="4"/>
    </row>
    <row r="326">
      <c r="H326" s="4"/>
      <c r="I326" s="4"/>
    </row>
    <row r="327">
      <c r="H327" s="4"/>
      <c r="I327" s="4"/>
    </row>
    <row r="328">
      <c r="H328" s="4"/>
      <c r="I328" s="4"/>
    </row>
    <row r="329">
      <c r="H329" s="4"/>
      <c r="I329" s="4"/>
    </row>
    <row r="330">
      <c r="H330" s="4"/>
      <c r="I330" s="4"/>
    </row>
    <row r="331">
      <c r="H331" s="4"/>
      <c r="I331" s="4"/>
    </row>
    <row r="332">
      <c r="H332" s="4"/>
      <c r="I332" s="4"/>
    </row>
    <row r="333">
      <c r="H333" s="4"/>
      <c r="I333" s="4"/>
    </row>
    <row r="334">
      <c r="H334" s="4"/>
      <c r="I334" s="4"/>
    </row>
    <row r="335">
      <c r="H335" s="4"/>
      <c r="I335" s="4"/>
    </row>
    <row r="336">
      <c r="H336" s="4"/>
      <c r="I336" s="4"/>
    </row>
    <row r="337">
      <c r="H337" s="4"/>
      <c r="I337" s="4"/>
    </row>
    <row r="338">
      <c r="H338" s="4"/>
      <c r="I338" s="4"/>
    </row>
    <row r="339">
      <c r="H339" s="4"/>
      <c r="I339" s="4"/>
    </row>
    <row r="340">
      <c r="H340" s="4"/>
      <c r="I340" s="4"/>
    </row>
    <row r="341">
      <c r="H341" s="4"/>
      <c r="I341" s="4"/>
    </row>
    <row r="342">
      <c r="H342" s="4"/>
      <c r="I342" s="4"/>
    </row>
    <row r="343">
      <c r="H343" s="4"/>
      <c r="I343" s="4"/>
    </row>
    <row r="344">
      <c r="H344" s="4"/>
      <c r="I344" s="4"/>
    </row>
    <row r="345">
      <c r="H345" s="4"/>
      <c r="I345" s="4"/>
    </row>
    <row r="346">
      <c r="H346" s="4"/>
      <c r="I346" s="4"/>
    </row>
    <row r="347">
      <c r="H347" s="4"/>
      <c r="I347" s="4"/>
    </row>
    <row r="348">
      <c r="H348" s="4"/>
      <c r="I348" s="4"/>
    </row>
    <row r="349">
      <c r="H349" s="4"/>
      <c r="I349" s="4"/>
    </row>
    <row r="350">
      <c r="H350" s="4"/>
      <c r="I350" s="4"/>
    </row>
    <row r="351">
      <c r="H351" s="4"/>
      <c r="I351" s="4"/>
    </row>
    <row r="352">
      <c r="H352" s="4"/>
      <c r="I352" s="4"/>
    </row>
    <row r="353">
      <c r="H353" s="4"/>
      <c r="I353" s="4"/>
    </row>
    <row r="354">
      <c r="H354" s="4"/>
      <c r="I354" s="4"/>
    </row>
    <row r="355">
      <c r="H355" s="4"/>
      <c r="I355" s="4"/>
    </row>
    <row r="356">
      <c r="H356" s="4"/>
      <c r="I356" s="4"/>
    </row>
    <row r="357">
      <c r="H357" s="4"/>
      <c r="I357" s="4"/>
    </row>
    <row r="358">
      <c r="H358" s="4"/>
      <c r="I358" s="4"/>
    </row>
    <row r="359">
      <c r="H359" s="4"/>
      <c r="I359" s="4"/>
    </row>
    <row r="360">
      <c r="H360" s="4"/>
      <c r="I360" s="4"/>
    </row>
    <row r="361">
      <c r="H361" s="4"/>
      <c r="I361" s="4"/>
    </row>
    <row r="362">
      <c r="H362" s="4"/>
      <c r="I362" s="4"/>
    </row>
    <row r="363">
      <c r="H363" s="4"/>
      <c r="I363" s="4"/>
    </row>
    <row r="364">
      <c r="H364" s="4"/>
      <c r="I364" s="4"/>
    </row>
    <row r="365">
      <c r="H365" s="4"/>
      <c r="I365" s="4"/>
    </row>
    <row r="366">
      <c r="H366" s="4"/>
      <c r="I366" s="4"/>
    </row>
    <row r="367">
      <c r="H367" s="4"/>
      <c r="I367" s="4"/>
    </row>
    <row r="368">
      <c r="H368" s="4"/>
      <c r="I368" s="4"/>
    </row>
    <row r="369">
      <c r="H369" s="4"/>
      <c r="I369" s="4"/>
    </row>
    <row r="370">
      <c r="H370" s="4"/>
      <c r="I370" s="4"/>
    </row>
    <row r="371">
      <c r="H371" s="4"/>
      <c r="I371" s="4"/>
    </row>
    <row r="372">
      <c r="H372" s="4"/>
      <c r="I372" s="4"/>
    </row>
    <row r="373">
      <c r="H373" s="4"/>
      <c r="I373" s="4"/>
    </row>
    <row r="374">
      <c r="H374" s="4"/>
      <c r="I374" s="4"/>
    </row>
    <row r="375">
      <c r="H375" s="4"/>
      <c r="I375" s="4"/>
    </row>
    <row r="376">
      <c r="H376" s="4"/>
      <c r="I376" s="4"/>
    </row>
    <row r="377">
      <c r="H377" s="4"/>
      <c r="I377" s="4"/>
    </row>
    <row r="378">
      <c r="H378" s="4"/>
      <c r="I378" s="4"/>
    </row>
    <row r="379">
      <c r="H379" s="4"/>
      <c r="I379" s="4"/>
    </row>
    <row r="380">
      <c r="H380" s="4"/>
      <c r="I380" s="4"/>
    </row>
    <row r="381">
      <c r="H381" s="4"/>
      <c r="I381" s="4"/>
    </row>
    <row r="382">
      <c r="H382" s="4"/>
      <c r="I382" s="4"/>
    </row>
    <row r="383">
      <c r="H383" s="4"/>
      <c r="I383" s="4"/>
    </row>
    <row r="384">
      <c r="H384" s="4"/>
      <c r="I384" s="4"/>
    </row>
    <row r="385">
      <c r="H385" s="4"/>
      <c r="I385" s="4"/>
    </row>
    <row r="386">
      <c r="H386" s="4"/>
      <c r="I386" s="4"/>
    </row>
    <row r="387">
      <c r="H387" s="4"/>
      <c r="I387" s="4"/>
    </row>
    <row r="388">
      <c r="H388" s="4"/>
      <c r="I388" s="4"/>
    </row>
    <row r="389">
      <c r="H389" s="4"/>
      <c r="I389" s="4"/>
    </row>
    <row r="390">
      <c r="H390" s="4"/>
      <c r="I390" s="4"/>
    </row>
    <row r="391">
      <c r="H391" s="4"/>
      <c r="I391" s="4"/>
    </row>
    <row r="392">
      <c r="H392" s="4"/>
      <c r="I392" s="4"/>
    </row>
    <row r="393">
      <c r="H393" s="4"/>
      <c r="I393" s="4"/>
    </row>
    <row r="394">
      <c r="H394" s="4"/>
      <c r="I394" s="4"/>
    </row>
    <row r="395">
      <c r="H395" s="4"/>
      <c r="I395" s="4"/>
    </row>
    <row r="396">
      <c r="H396" s="4"/>
      <c r="I396" s="4"/>
    </row>
    <row r="397">
      <c r="H397" s="4"/>
      <c r="I397" s="4"/>
    </row>
    <row r="398">
      <c r="H398" s="4"/>
      <c r="I398" s="4"/>
    </row>
    <row r="399">
      <c r="H399" s="4"/>
      <c r="I399" s="4"/>
    </row>
    <row r="400">
      <c r="H400" s="4"/>
      <c r="I400" s="4"/>
    </row>
    <row r="401">
      <c r="H401" s="4"/>
      <c r="I401" s="4"/>
    </row>
    <row r="402">
      <c r="H402" s="4"/>
      <c r="I402" s="4"/>
    </row>
    <row r="403">
      <c r="H403" s="4"/>
      <c r="I403" s="4"/>
    </row>
    <row r="404">
      <c r="H404" s="4"/>
      <c r="I404" s="4"/>
    </row>
    <row r="405">
      <c r="H405" s="4"/>
      <c r="I405" s="4"/>
    </row>
    <row r="406">
      <c r="H406" s="4"/>
      <c r="I406" s="4"/>
    </row>
    <row r="407">
      <c r="H407" s="4"/>
      <c r="I407" s="4"/>
    </row>
    <row r="408">
      <c r="H408" s="4"/>
      <c r="I408" s="4"/>
    </row>
    <row r="409">
      <c r="H409" s="4"/>
      <c r="I409" s="4"/>
    </row>
    <row r="410">
      <c r="H410" s="4"/>
      <c r="I410" s="4"/>
    </row>
    <row r="411">
      <c r="H411" s="4"/>
      <c r="I411" s="4"/>
    </row>
    <row r="412">
      <c r="H412" s="4"/>
      <c r="I412" s="4"/>
    </row>
    <row r="413">
      <c r="H413" s="4"/>
      <c r="I413" s="4"/>
    </row>
    <row r="414">
      <c r="H414" s="4"/>
      <c r="I414" s="4"/>
    </row>
    <row r="415">
      <c r="H415" s="4"/>
      <c r="I415" s="4"/>
    </row>
    <row r="416">
      <c r="H416" s="4"/>
      <c r="I416" s="4"/>
    </row>
    <row r="417">
      <c r="H417" s="4"/>
      <c r="I417" s="4"/>
    </row>
    <row r="418">
      <c r="H418" s="4"/>
      <c r="I418" s="4"/>
    </row>
    <row r="419">
      <c r="H419" s="4"/>
      <c r="I419" s="4"/>
    </row>
    <row r="420">
      <c r="H420" s="4"/>
      <c r="I420" s="4"/>
    </row>
    <row r="421">
      <c r="H421" s="4"/>
      <c r="I421" s="4"/>
    </row>
    <row r="422">
      <c r="H422" s="4"/>
      <c r="I422" s="4"/>
    </row>
    <row r="423">
      <c r="H423" s="4"/>
      <c r="I423" s="4"/>
    </row>
    <row r="424">
      <c r="H424" s="4"/>
      <c r="I424" s="4"/>
    </row>
    <row r="425">
      <c r="H425" s="4"/>
      <c r="I425" s="4"/>
    </row>
    <row r="426">
      <c r="H426" s="4"/>
      <c r="I426" s="4"/>
    </row>
    <row r="427">
      <c r="H427" s="4"/>
      <c r="I427" s="4"/>
    </row>
    <row r="428">
      <c r="H428" s="4"/>
      <c r="I428" s="4"/>
    </row>
    <row r="429">
      <c r="H429" s="4"/>
      <c r="I429" s="4"/>
    </row>
    <row r="430">
      <c r="H430" s="4"/>
      <c r="I430" s="4"/>
    </row>
    <row r="431">
      <c r="H431" s="4"/>
      <c r="I431" s="4"/>
    </row>
    <row r="432">
      <c r="H432" s="4"/>
      <c r="I432" s="4"/>
    </row>
    <row r="433">
      <c r="H433" s="4"/>
      <c r="I433" s="4"/>
    </row>
    <row r="434">
      <c r="H434" s="4"/>
      <c r="I434" s="4"/>
    </row>
    <row r="435">
      <c r="H435" s="4"/>
      <c r="I435" s="4"/>
    </row>
    <row r="436">
      <c r="H436" s="4"/>
      <c r="I436" s="4"/>
    </row>
    <row r="437">
      <c r="H437" s="4"/>
      <c r="I437" s="4"/>
    </row>
    <row r="438">
      <c r="H438" s="4"/>
      <c r="I438" s="4"/>
    </row>
    <row r="439">
      <c r="H439" s="4"/>
      <c r="I439" s="4"/>
    </row>
    <row r="440">
      <c r="H440" s="4"/>
      <c r="I440" s="4"/>
    </row>
    <row r="441">
      <c r="H441" s="4"/>
      <c r="I441" s="4"/>
    </row>
    <row r="442">
      <c r="H442" s="4"/>
      <c r="I442" s="4"/>
    </row>
    <row r="443">
      <c r="H443" s="4"/>
      <c r="I443" s="4"/>
    </row>
    <row r="444">
      <c r="H444" s="4"/>
      <c r="I444" s="4"/>
    </row>
    <row r="445">
      <c r="H445" s="4"/>
      <c r="I445" s="4"/>
    </row>
    <row r="446">
      <c r="H446" s="4"/>
      <c r="I446" s="4"/>
    </row>
    <row r="447">
      <c r="H447" s="4"/>
      <c r="I447" s="4"/>
    </row>
    <row r="448">
      <c r="H448" s="4"/>
      <c r="I448" s="4"/>
    </row>
    <row r="449">
      <c r="H449" s="4"/>
      <c r="I449" s="4"/>
    </row>
    <row r="450">
      <c r="H450" s="4"/>
      <c r="I450" s="4"/>
    </row>
    <row r="451">
      <c r="H451" s="4"/>
      <c r="I451" s="4"/>
    </row>
    <row r="452">
      <c r="H452" s="4"/>
      <c r="I452" s="4"/>
    </row>
    <row r="453">
      <c r="H453" s="4"/>
      <c r="I453" s="4"/>
    </row>
    <row r="454">
      <c r="H454" s="4"/>
      <c r="I454" s="4"/>
    </row>
    <row r="455">
      <c r="H455" s="4"/>
      <c r="I455" s="4"/>
    </row>
    <row r="456">
      <c r="H456" s="4"/>
      <c r="I456" s="4"/>
    </row>
    <row r="457">
      <c r="H457" s="4"/>
      <c r="I457" s="4"/>
    </row>
    <row r="458">
      <c r="H458" s="4"/>
      <c r="I458" s="4"/>
    </row>
    <row r="459">
      <c r="H459" s="4"/>
      <c r="I459" s="4"/>
    </row>
    <row r="460">
      <c r="H460" s="4"/>
      <c r="I460" s="4"/>
    </row>
    <row r="461">
      <c r="H461" s="4"/>
      <c r="I461" s="4"/>
    </row>
    <row r="462">
      <c r="H462" s="4"/>
      <c r="I462" s="4"/>
    </row>
    <row r="463">
      <c r="H463" s="4"/>
      <c r="I463" s="4"/>
    </row>
    <row r="464">
      <c r="H464" s="4"/>
      <c r="I464" s="4"/>
    </row>
    <row r="465">
      <c r="H465" s="4"/>
      <c r="I465" s="4"/>
    </row>
    <row r="466">
      <c r="H466" s="4"/>
      <c r="I466" s="4"/>
    </row>
    <row r="467">
      <c r="H467" s="4"/>
      <c r="I467" s="4"/>
    </row>
    <row r="468">
      <c r="H468" s="4"/>
      <c r="I468" s="4"/>
    </row>
    <row r="469">
      <c r="H469" s="4"/>
      <c r="I469" s="4"/>
    </row>
    <row r="470">
      <c r="H470" s="4"/>
      <c r="I470" s="4"/>
    </row>
    <row r="471">
      <c r="H471" s="4"/>
      <c r="I471" s="4"/>
    </row>
    <row r="472">
      <c r="H472" s="4"/>
      <c r="I472" s="4"/>
    </row>
    <row r="473">
      <c r="H473" s="4"/>
      <c r="I473" s="4"/>
    </row>
    <row r="474">
      <c r="H474" s="4"/>
      <c r="I474" s="4"/>
    </row>
    <row r="475">
      <c r="H475" s="4"/>
      <c r="I475" s="4"/>
    </row>
    <row r="476">
      <c r="H476" s="4"/>
      <c r="I476" s="4"/>
    </row>
    <row r="477">
      <c r="H477" s="4"/>
      <c r="I477" s="4"/>
    </row>
    <row r="478">
      <c r="H478" s="4"/>
      <c r="I478" s="4"/>
    </row>
    <row r="479">
      <c r="H479" s="4"/>
      <c r="I479" s="4"/>
    </row>
    <row r="480">
      <c r="H480" s="4"/>
      <c r="I480" s="4"/>
    </row>
    <row r="481">
      <c r="H481" s="4"/>
      <c r="I481" s="4"/>
    </row>
    <row r="482">
      <c r="H482" s="4"/>
      <c r="I482" s="4"/>
    </row>
    <row r="483">
      <c r="H483" s="4"/>
      <c r="I483" s="4"/>
    </row>
    <row r="484">
      <c r="H484" s="4"/>
      <c r="I484" s="4"/>
    </row>
    <row r="485">
      <c r="H485" s="4"/>
      <c r="I485" s="4"/>
    </row>
    <row r="486">
      <c r="H486" s="4"/>
      <c r="I486" s="4"/>
    </row>
    <row r="487">
      <c r="H487" s="4"/>
      <c r="I487" s="4"/>
    </row>
    <row r="488">
      <c r="H488" s="4"/>
      <c r="I488" s="4"/>
    </row>
    <row r="489">
      <c r="H489" s="4"/>
      <c r="I489" s="4"/>
    </row>
    <row r="490">
      <c r="H490" s="4"/>
      <c r="I490" s="4"/>
    </row>
    <row r="491">
      <c r="H491" s="4"/>
      <c r="I491" s="4"/>
    </row>
    <row r="492">
      <c r="H492" s="4"/>
      <c r="I492" s="4"/>
    </row>
    <row r="493">
      <c r="H493" s="4"/>
      <c r="I493" s="4"/>
    </row>
    <row r="494">
      <c r="H494" s="4"/>
      <c r="I494" s="4"/>
    </row>
    <row r="495">
      <c r="H495" s="4"/>
      <c r="I495" s="4"/>
    </row>
    <row r="496">
      <c r="H496" s="4"/>
      <c r="I496" s="4"/>
    </row>
    <row r="497">
      <c r="H497" s="4"/>
      <c r="I497" s="4"/>
    </row>
    <row r="498">
      <c r="H498" s="4"/>
      <c r="I498" s="4"/>
    </row>
    <row r="499">
      <c r="H499" s="4"/>
      <c r="I499" s="4"/>
    </row>
    <row r="500">
      <c r="H500" s="4"/>
      <c r="I500" s="4"/>
    </row>
    <row r="501">
      <c r="H501" s="4"/>
      <c r="I501" s="4"/>
    </row>
    <row r="502">
      <c r="H502" s="4"/>
      <c r="I502" s="4"/>
    </row>
    <row r="503">
      <c r="H503" s="4"/>
      <c r="I503" s="4"/>
    </row>
    <row r="504">
      <c r="H504" s="4"/>
      <c r="I504" s="4"/>
    </row>
    <row r="505">
      <c r="H505" s="4"/>
      <c r="I505" s="4"/>
    </row>
    <row r="506">
      <c r="H506" s="4"/>
      <c r="I506" s="4"/>
    </row>
    <row r="507">
      <c r="H507" s="4"/>
      <c r="I507" s="4"/>
    </row>
    <row r="508">
      <c r="H508" s="4"/>
      <c r="I508" s="4"/>
    </row>
    <row r="509">
      <c r="H509" s="4"/>
      <c r="I509" s="4"/>
    </row>
    <row r="510">
      <c r="H510" s="4"/>
      <c r="I510" s="4"/>
    </row>
    <row r="511">
      <c r="H511" s="4"/>
      <c r="I511" s="4"/>
    </row>
    <row r="512">
      <c r="H512" s="4"/>
      <c r="I512" s="4"/>
    </row>
    <row r="513">
      <c r="H513" s="4"/>
      <c r="I513" s="4"/>
    </row>
    <row r="514">
      <c r="H514" s="4"/>
      <c r="I514" s="4"/>
    </row>
    <row r="515">
      <c r="H515" s="4"/>
      <c r="I515" s="4"/>
    </row>
    <row r="516">
      <c r="H516" s="4"/>
      <c r="I516" s="4"/>
    </row>
    <row r="517">
      <c r="H517" s="4"/>
      <c r="I517" s="4"/>
    </row>
    <row r="518">
      <c r="H518" s="4"/>
      <c r="I518" s="4"/>
    </row>
    <row r="519">
      <c r="H519" s="4"/>
      <c r="I519" s="4"/>
    </row>
    <row r="520">
      <c r="H520" s="4"/>
      <c r="I520" s="4"/>
    </row>
    <row r="521">
      <c r="H521" s="4"/>
      <c r="I521" s="4"/>
    </row>
    <row r="522">
      <c r="H522" s="4"/>
      <c r="I522" s="4"/>
    </row>
    <row r="523">
      <c r="H523" s="4"/>
      <c r="I523" s="4"/>
    </row>
    <row r="524">
      <c r="H524" s="4"/>
      <c r="I524" s="4"/>
    </row>
    <row r="525">
      <c r="H525" s="4"/>
      <c r="I525" s="4"/>
    </row>
    <row r="526">
      <c r="H526" s="4"/>
      <c r="I526" s="4"/>
    </row>
    <row r="527">
      <c r="H527" s="4"/>
      <c r="I527" s="4"/>
    </row>
    <row r="528">
      <c r="H528" s="4"/>
      <c r="I528" s="4"/>
    </row>
    <row r="529">
      <c r="H529" s="4"/>
      <c r="I529" s="4"/>
    </row>
    <row r="530">
      <c r="H530" s="4"/>
      <c r="I530" s="4"/>
    </row>
    <row r="531">
      <c r="H531" s="4"/>
      <c r="I531" s="4"/>
    </row>
    <row r="532">
      <c r="H532" s="4"/>
      <c r="I532" s="4"/>
    </row>
    <row r="533">
      <c r="H533" s="4"/>
      <c r="I533" s="4"/>
    </row>
    <row r="534">
      <c r="H534" s="4"/>
      <c r="I534" s="4"/>
    </row>
    <row r="535">
      <c r="H535" s="4"/>
      <c r="I535" s="4"/>
    </row>
    <row r="536">
      <c r="H536" s="4"/>
      <c r="I536" s="4"/>
    </row>
    <row r="537">
      <c r="H537" s="4"/>
      <c r="I537" s="4"/>
    </row>
    <row r="538">
      <c r="H538" s="4"/>
      <c r="I538" s="4"/>
    </row>
    <row r="539">
      <c r="H539" s="4"/>
      <c r="I539" s="4"/>
    </row>
    <row r="540">
      <c r="H540" s="4"/>
      <c r="I540" s="4"/>
    </row>
    <row r="541">
      <c r="H541" s="4"/>
      <c r="I541" s="4"/>
    </row>
    <row r="542">
      <c r="H542" s="4"/>
      <c r="I542" s="4"/>
    </row>
    <row r="543">
      <c r="H543" s="4"/>
      <c r="I543" s="4"/>
    </row>
    <row r="544">
      <c r="H544" s="4"/>
      <c r="I544" s="4"/>
    </row>
    <row r="545">
      <c r="H545" s="4"/>
      <c r="I545" s="4"/>
    </row>
    <row r="546">
      <c r="H546" s="4"/>
      <c r="I546" s="4"/>
    </row>
    <row r="547">
      <c r="H547" s="4"/>
      <c r="I547" s="4"/>
    </row>
    <row r="548">
      <c r="H548" s="4"/>
      <c r="I548" s="4"/>
    </row>
    <row r="549">
      <c r="H549" s="4"/>
      <c r="I549" s="4"/>
    </row>
    <row r="550">
      <c r="H550" s="4"/>
      <c r="I550" s="4"/>
    </row>
    <row r="551">
      <c r="H551" s="4"/>
      <c r="I551" s="4"/>
    </row>
    <row r="552">
      <c r="H552" s="4"/>
      <c r="I552" s="4"/>
    </row>
    <row r="553">
      <c r="H553" s="4"/>
      <c r="I553" s="4"/>
    </row>
    <row r="554">
      <c r="H554" s="4"/>
      <c r="I554" s="4"/>
    </row>
    <row r="555">
      <c r="H555" s="4"/>
      <c r="I555" s="4"/>
    </row>
    <row r="556">
      <c r="H556" s="4"/>
      <c r="I556" s="4"/>
    </row>
    <row r="557">
      <c r="H557" s="4"/>
      <c r="I557" s="4"/>
    </row>
    <row r="558">
      <c r="H558" s="4"/>
      <c r="I558" s="4"/>
    </row>
    <row r="559">
      <c r="H559" s="4"/>
      <c r="I559" s="4"/>
    </row>
    <row r="560">
      <c r="H560" s="4"/>
      <c r="I560" s="4"/>
    </row>
    <row r="561">
      <c r="H561" s="4"/>
      <c r="I561" s="4"/>
    </row>
    <row r="562">
      <c r="H562" s="4"/>
      <c r="I562" s="4"/>
    </row>
    <row r="563">
      <c r="H563" s="4"/>
      <c r="I563" s="4"/>
    </row>
    <row r="564">
      <c r="H564" s="4"/>
      <c r="I564" s="4"/>
    </row>
    <row r="565">
      <c r="H565" s="4"/>
      <c r="I565" s="4"/>
    </row>
    <row r="566">
      <c r="H566" s="4"/>
      <c r="I566" s="4"/>
    </row>
    <row r="567">
      <c r="H567" s="4"/>
      <c r="I567" s="4"/>
    </row>
    <row r="568">
      <c r="H568" s="4"/>
      <c r="I568" s="4"/>
    </row>
    <row r="569">
      <c r="H569" s="4"/>
      <c r="I569" s="4"/>
    </row>
    <row r="570">
      <c r="H570" s="4"/>
      <c r="I570" s="4"/>
    </row>
    <row r="571">
      <c r="H571" s="4"/>
      <c r="I571" s="4"/>
    </row>
    <row r="572">
      <c r="H572" s="4"/>
      <c r="I572" s="4"/>
    </row>
    <row r="573">
      <c r="H573" s="4"/>
      <c r="I573" s="4"/>
    </row>
    <row r="574">
      <c r="H574" s="4"/>
      <c r="I574" s="4"/>
    </row>
    <row r="575">
      <c r="H575" s="4"/>
      <c r="I575" s="4"/>
    </row>
    <row r="576">
      <c r="H576" s="4"/>
      <c r="I576" s="4"/>
    </row>
    <row r="577">
      <c r="H577" s="4"/>
      <c r="I577" s="4"/>
    </row>
    <row r="578">
      <c r="H578" s="4"/>
      <c r="I578" s="4"/>
    </row>
    <row r="579">
      <c r="H579" s="4"/>
      <c r="I579" s="4"/>
    </row>
    <row r="580">
      <c r="H580" s="4"/>
      <c r="I580" s="4"/>
    </row>
    <row r="581">
      <c r="H581" s="4"/>
      <c r="I581" s="4"/>
    </row>
    <row r="582">
      <c r="H582" s="4"/>
      <c r="I582" s="4"/>
    </row>
    <row r="583">
      <c r="H583" s="4"/>
      <c r="I583" s="4"/>
    </row>
    <row r="584">
      <c r="H584" s="4"/>
      <c r="I584" s="4"/>
    </row>
    <row r="585">
      <c r="H585" s="4"/>
      <c r="I585" s="4"/>
    </row>
    <row r="586">
      <c r="H586" s="4"/>
      <c r="I586" s="4"/>
    </row>
    <row r="587">
      <c r="H587" s="4"/>
      <c r="I587" s="4"/>
    </row>
    <row r="588">
      <c r="H588" s="4"/>
      <c r="I588" s="4"/>
    </row>
    <row r="589">
      <c r="H589" s="4"/>
      <c r="I589" s="4"/>
    </row>
    <row r="590">
      <c r="H590" s="4"/>
      <c r="I590" s="4"/>
    </row>
    <row r="591">
      <c r="H591" s="4"/>
      <c r="I591" s="4"/>
    </row>
    <row r="592">
      <c r="H592" s="4"/>
      <c r="I592" s="4"/>
    </row>
    <row r="593">
      <c r="H593" s="4"/>
      <c r="I593" s="4"/>
    </row>
    <row r="594">
      <c r="H594" s="4"/>
      <c r="I594" s="4"/>
    </row>
    <row r="595">
      <c r="H595" s="4"/>
      <c r="I595" s="4"/>
    </row>
    <row r="596">
      <c r="H596" s="4"/>
      <c r="I596" s="4"/>
    </row>
    <row r="597">
      <c r="H597" s="4"/>
      <c r="I597" s="4"/>
    </row>
    <row r="598">
      <c r="H598" s="4"/>
      <c r="I598" s="4"/>
    </row>
    <row r="599">
      <c r="H599" s="4"/>
      <c r="I599" s="4"/>
    </row>
    <row r="600">
      <c r="H600" s="4"/>
      <c r="I600" s="4"/>
    </row>
    <row r="601">
      <c r="H601" s="4"/>
      <c r="I601" s="4"/>
    </row>
    <row r="602">
      <c r="H602" s="4"/>
      <c r="I602" s="4"/>
    </row>
    <row r="603">
      <c r="H603" s="4"/>
      <c r="I603" s="4"/>
    </row>
    <row r="604">
      <c r="H604" s="4"/>
      <c r="I604" s="4"/>
    </row>
    <row r="605">
      <c r="H605" s="4"/>
      <c r="I605" s="4"/>
    </row>
    <row r="606">
      <c r="H606" s="4"/>
      <c r="I606" s="4"/>
    </row>
    <row r="607">
      <c r="H607" s="4"/>
      <c r="I607" s="4"/>
    </row>
    <row r="608">
      <c r="H608" s="4"/>
      <c r="I608" s="4"/>
    </row>
    <row r="609">
      <c r="H609" s="4"/>
      <c r="I609" s="4"/>
    </row>
    <row r="610">
      <c r="H610" s="4"/>
      <c r="I610" s="4"/>
    </row>
    <row r="611">
      <c r="H611" s="4"/>
      <c r="I611" s="4"/>
    </row>
    <row r="612">
      <c r="H612" s="4"/>
      <c r="I612" s="4"/>
    </row>
    <row r="613">
      <c r="H613" s="4"/>
      <c r="I613" s="4"/>
    </row>
    <row r="614">
      <c r="H614" s="4"/>
      <c r="I614" s="4"/>
    </row>
    <row r="615">
      <c r="H615" s="4"/>
      <c r="I615" s="4"/>
    </row>
    <row r="616">
      <c r="H616" s="4"/>
      <c r="I616" s="4"/>
    </row>
    <row r="617">
      <c r="H617" s="4"/>
      <c r="I617" s="4"/>
    </row>
    <row r="618">
      <c r="H618" s="4"/>
      <c r="I618" s="4"/>
    </row>
    <row r="619">
      <c r="H619" s="4"/>
      <c r="I619" s="4"/>
    </row>
    <row r="620">
      <c r="H620" s="4"/>
      <c r="I620" s="4"/>
    </row>
    <row r="621">
      <c r="H621" s="4"/>
      <c r="I621" s="4"/>
    </row>
    <row r="622">
      <c r="H622" s="4"/>
      <c r="I622" s="4"/>
    </row>
    <row r="623">
      <c r="H623" s="4"/>
      <c r="I623" s="4"/>
    </row>
    <row r="624">
      <c r="H624" s="4"/>
      <c r="I624" s="4"/>
    </row>
    <row r="625">
      <c r="H625" s="4"/>
      <c r="I625" s="4"/>
    </row>
    <row r="626">
      <c r="H626" s="4"/>
      <c r="I626" s="4"/>
    </row>
    <row r="627">
      <c r="H627" s="4"/>
      <c r="I627" s="4"/>
    </row>
    <row r="628">
      <c r="H628" s="4"/>
      <c r="I628" s="4"/>
    </row>
    <row r="629">
      <c r="H629" s="4"/>
      <c r="I629" s="4"/>
    </row>
    <row r="630">
      <c r="H630" s="4"/>
      <c r="I630" s="4"/>
    </row>
    <row r="631">
      <c r="H631" s="4"/>
      <c r="I631" s="4"/>
    </row>
    <row r="632">
      <c r="H632" s="4"/>
      <c r="I632" s="4"/>
    </row>
    <row r="633">
      <c r="H633" s="4"/>
      <c r="I633" s="4"/>
    </row>
    <row r="634">
      <c r="H634" s="4"/>
      <c r="I634" s="4"/>
    </row>
    <row r="635">
      <c r="H635" s="4"/>
      <c r="I635" s="4"/>
    </row>
    <row r="636">
      <c r="H636" s="4"/>
      <c r="I636" s="4"/>
    </row>
    <row r="637">
      <c r="H637" s="4"/>
      <c r="I637" s="4"/>
    </row>
    <row r="638">
      <c r="H638" s="4"/>
      <c r="I638" s="4"/>
    </row>
    <row r="639">
      <c r="H639" s="4"/>
      <c r="I639" s="4"/>
    </row>
    <row r="640">
      <c r="H640" s="4"/>
      <c r="I640" s="4"/>
    </row>
    <row r="641">
      <c r="H641" s="4"/>
      <c r="I641" s="4"/>
    </row>
    <row r="642">
      <c r="H642" s="4"/>
      <c r="I642" s="4"/>
    </row>
    <row r="643">
      <c r="H643" s="4"/>
      <c r="I643" s="4"/>
    </row>
    <row r="644">
      <c r="H644" s="4"/>
      <c r="I644" s="4"/>
    </row>
    <row r="645">
      <c r="H645" s="4"/>
      <c r="I645" s="4"/>
    </row>
    <row r="646">
      <c r="H646" s="4"/>
      <c r="I646" s="4"/>
    </row>
    <row r="647">
      <c r="H647" s="4"/>
      <c r="I647" s="4"/>
    </row>
    <row r="648">
      <c r="H648" s="4"/>
      <c r="I648" s="4"/>
    </row>
    <row r="649">
      <c r="H649" s="4"/>
      <c r="I649" s="4"/>
    </row>
    <row r="650">
      <c r="H650" s="4"/>
      <c r="I650" s="4"/>
    </row>
    <row r="651">
      <c r="H651" s="4"/>
      <c r="I651" s="4"/>
    </row>
    <row r="652">
      <c r="H652" s="4"/>
      <c r="I652" s="4"/>
    </row>
    <row r="653">
      <c r="H653" s="4"/>
      <c r="I653" s="4"/>
    </row>
    <row r="654">
      <c r="H654" s="4"/>
      <c r="I654" s="4"/>
    </row>
    <row r="655">
      <c r="H655" s="4"/>
      <c r="I655" s="4"/>
    </row>
    <row r="656">
      <c r="H656" s="4"/>
      <c r="I656" s="4"/>
    </row>
    <row r="657">
      <c r="H657" s="4"/>
      <c r="I657" s="4"/>
    </row>
    <row r="658">
      <c r="H658" s="4"/>
      <c r="I658" s="4"/>
    </row>
    <row r="659">
      <c r="H659" s="4"/>
      <c r="I659" s="4"/>
    </row>
    <row r="660">
      <c r="H660" s="4"/>
      <c r="I660" s="4"/>
    </row>
    <row r="661">
      <c r="H661" s="4"/>
      <c r="I661" s="4"/>
    </row>
    <row r="662">
      <c r="H662" s="4"/>
      <c r="I662" s="4"/>
    </row>
    <row r="663">
      <c r="H663" s="4"/>
      <c r="I663" s="4"/>
    </row>
    <row r="664">
      <c r="H664" s="4"/>
      <c r="I664" s="4"/>
    </row>
    <row r="665">
      <c r="H665" s="4"/>
      <c r="I665" s="4"/>
    </row>
    <row r="666">
      <c r="H666" s="4"/>
      <c r="I666" s="4"/>
    </row>
    <row r="667">
      <c r="H667" s="4"/>
      <c r="I667" s="4"/>
    </row>
    <row r="668">
      <c r="H668" s="4"/>
      <c r="I668" s="4"/>
    </row>
    <row r="669">
      <c r="H669" s="4"/>
      <c r="I669" s="4"/>
    </row>
    <row r="670">
      <c r="H670" s="4"/>
      <c r="I670" s="4"/>
    </row>
    <row r="671">
      <c r="H671" s="4"/>
      <c r="I671" s="4"/>
    </row>
    <row r="672">
      <c r="H672" s="4"/>
      <c r="I672" s="4"/>
    </row>
    <row r="673">
      <c r="H673" s="4"/>
      <c r="I673" s="4"/>
    </row>
    <row r="674">
      <c r="H674" s="4"/>
      <c r="I674" s="4"/>
    </row>
    <row r="675">
      <c r="H675" s="4"/>
      <c r="I675" s="4"/>
    </row>
    <row r="676">
      <c r="H676" s="4"/>
      <c r="I676" s="4"/>
    </row>
    <row r="677">
      <c r="H677" s="4"/>
      <c r="I677" s="4"/>
    </row>
    <row r="678">
      <c r="H678" s="4"/>
      <c r="I678" s="4"/>
    </row>
    <row r="679">
      <c r="H679" s="4"/>
      <c r="I679" s="4"/>
    </row>
    <row r="680">
      <c r="H680" s="4"/>
      <c r="I680" s="4"/>
    </row>
    <row r="681">
      <c r="H681" s="4"/>
      <c r="I681" s="4"/>
    </row>
    <row r="682">
      <c r="H682" s="4"/>
      <c r="I682" s="4"/>
    </row>
    <row r="683">
      <c r="H683" s="4"/>
      <c r="I683" s="4"/>
    </row>
    <row r="684">
      <c r="H684" s="4"/>
      <c r="I684" s="4"/>
    </row>
    <row r="685">
      <c r="H685" s="4"/>
      <c r="I685" s="4"/>
    </row>
    <row r="686">
      <c r="H686" s="4"/>
      <c r="I686" s="4"/>
    </row>
    <row r="687">
      <c r="H687" s="4"/>
      <c r="I687" s="4"/>
    </row>
    <row r="688">
      <c r="H688" s="4"/>
      <c r="I688" s="4"/>
    </row>
    <row r="689">
      <c r="H689" s="4"/>
      <c r="I689" s="4"/>
    </row>
    <row r="690">
      <c r="H690" s="4"/>
      <c r="I690" s="4"/>
    </row>
    <row r="691">
      <c r="H691" s="4"/>
      <c r="I691" s="4"/>
    </row>
    <row r="692">
      <c r="H692" s="4"/>
      <c r="I692" s="4"/>
    </row>
    <row r="693">
      <c r="H693" s="4"/>
      <c r="I693" s="4"/>
    </row>
    <row r="694">
      <c r="H694" s="4"/>
      <c r="I694" s="4"/>
    </row>
    <row r="695">
      <c r="H695" s="4"/>
      <c r="I695" s="4"/>
    </row>
    <row r="696">
      <c r="H696" s="4"/>
      <c r="I696" s="4"/>
    </row>
    <row r="697">
      <c r="H697" s="4"/>
      <c r="I697" s="4"/>
    </row>
    <row r="698">
      <c r="H698" s="4"/>
      <c r="I698" s="4"/>
    </row>
    <row r="699">
      <c r="H699" s="4"/>
      <c r="I699" s="4"/>
    </row>
    <row r="700">
      <c r="H700" s="4"/>
      <c r="I700" s="4"/>
    </row>
    <row r="701">
      <c r="H701" s="4"/>
      <c r="I701" s="4"/>
    </row>
    <row r="702">
      <c r="H702" s="4"/>
      <c r="I702" s="4"/>
    </row>
    <row r="703">
      <c r="H703" s="4"/>
      <c r="I703" s="4"/>
    </row>
    <row r="704">
      <c r="H704" s="4"/>
      <c r="I704" s="4"/>
    </row>
    <row r="705">
      <c r="H705" s="4"/>
      <c r="I705" s="4"/>
    </row>
    <row r="706">
      <c r="H706" s="4"/>
      <c r="I706" s="4"/>
    </row>
    <row r="707">
      <c r="H707" s="4"/>
      <c r="I707" s="4"/>
    </row>
    <row r="708">
      <c r="H708" s="4"/>
      <c r="I708" s="4"/>
    </row>
    <row r="709">
      <c r="H709" s="4"/>
      <c r="I709" s="4"/>
    </row>
    <row r="710">
      <c r="H710" s="4"/>
      <c r="I710" s="4"/>
    </row>
    <row r="711">
      <c r="H711" s="4"/>
      <c r="I711" s="4"/>
    </row>
    <row r="712">
      <c r="H712" s="4"/>
      <c r="I712" s="4"/>
    </row>
    <row r="713">
      <c r="H713" s="4"/>
      <c r="I713" s="4"/>
    </row>
    <row r="714">
      <c r="H714" s="4"/>
      <c r="I714" s="4"/>
    </row>
    <row r="715">
      <c r="H715" s="4"/>
      <c r="I715" s="4"/>
    </row>
    <row r="716">
      <c r="H716" s="4"/>
      <c r="I716" s="4"/>
    </row>
    <row r="717">
      <c r="H717" s="4"/>
      <c r="I717" s="4"/>
    </row>
    <row r="718">
      <c r="H718" s="4"/>
      <c r="I718" s="4"/>
    </row>
    <row r="719">
      <c r="H719" s="4"/>
      <c r="I719" s="4"/>
    </row>
    <row r="720">
      <c r="H720" s="4"/>
      <c r="I720" s="4"/>
    </row>
    <row r="721">
      <c r="H721" s="4"/>
      <c r="I721" s="4"/>
    </row>
    <row r="722">
      <c r="H722" s="4"/>
      <c r="I722" s="4"/>
    </row>
    <row r="723">
      <c r="H723" s="4"/>
      <c r="I723" s="4"/>
    </row>
    <row r="724">
      <c r="H724" s="4"/>
      <c r="I724" s="4"/>
    </row>
    <row r="725">
      <c r="H725" s="4"/>
      <c r="I725" s="4"/>
    </row>
    <row r="726">
      <c r="H726" s="4"/>
      <c r="I726" s="4"/>
    </row>
    <row r="727">
      <c r="H727" s="4"/>
      <c r="I727" s="4"/>
    </row>
    <row r="728">
      <c r="H728" s="4"/>
      <c r="I728" s="4"/>
    </row>
    <row r="729">
      <c r="H729" s="4"/>
      <c r="I729" s="4"/>
    </row>
    <row r="730">
      <c r="H730" s="4"/>
      <c r="I730" s="4"/>
    </row>
    <row r="731">
      <c r="H731" s="4"/>
      <c r="I731" s="4"/>
    </row>
    <row r="732">
      <c r="H732" s="4"/>
      <c r="I732" s="4"/>
    </row>
    <row r="733">
      <c r="H733" s="4"/>
      <c r="I733" s="4"/>
    </row>
    <row r="734">
      <c r="H734" s="4"/>
      <c r="I734" s="4"/>
    </row>
    <row r="735">
      <c r="H735" s="4"/>
      <c r="I735" s="4"/>
    </row>
    <row r="736">
      <c r="H736" s="4"/>
      <c r="I736" s="4"/>
    </row>
    <row r="737">
      <c r="H737" s="4"/>
      <c r="I737" s="4"/>
    </row>
    <row r="738">
      <c r="H738" s="4"/>
      <c r="I738" s="4"/>
    </row>
    <row r="739">
      <c r="H739" s="4"/>
      <c r="I739" s="4"/>
    </row>
    <row r="740">
      <c r="H740" s="4"/>
      <c r="I740" s="4"/>
    </row>
    <row r="741">
      <c r="H741" s="4"/>
      <c r="I741" s="4"/>
    </row>
    <row r="742">
      <c r="H742" s="4"/>
      <c r="I742" s="4"/>
    </row>
    <row r="743">
      <c r="H743" s="4"/>
      <c r="I743" s="4"/>
    </row>
    <row r="744">
      <c r="H744" s="4"/>
      <c r="I744" s="4"/>
    </row>
    <row r="745">
      <c r="H745" s="4"/>
      <c r="I745" s="4"/>
    </row>
    <row r="746">
      <c r="H746" s="4"/>
      <c r="I746" s="4"/>
    </row>
    <row r="747">
      <c r="H747" s="4"/>
      <c r="I747" s="4"/>
    </row>
    <row r="748">
      <c r="H748" s="4"/>
      <c r="I748" s="4"/>
    </row>
    <row r="749">
      <c r="H749" s="4"/>
      <c r="I749" s="4"/>
    </row>
    <row r="750">
      <c r="H750" s="4"/>
      <c r="I750" s="4"/>
    </row>
    <row r="751">
      <c r="H751" s="4"/>
      <c r="I751" s="4"/>
    </row>
    <row r="752">
      <c r="H752" s="4"/>
      <c r="I752" s="4"/>
    </row>
    <row r="753">
      <c r="H753" s="4"/>
      <c r="I753" s="4"/>
    </row>
    <row r="754">
      <c r="H754" s="4"/>
      <c r="I754" s="4"/>
    </row>
    <row r="755">
      <c r="H755" s="4"/>
      <c r="I755" s="4"/>
    </row>
    <row r="756">
      <c r="H756" s="4"/>
      <c r="I756" s="4"/>
    </row>
    <row r="757">
      <c r="H757" s="4"/>
      <c r="I757" s="4"/>
    </row>
    <row r="758">
      <c r="H758" s="4"/>
      <c r="I758" s="4"/>
    </row>
    <row r="759">
      <c r="H759" s="4"/>
      <c r="I759" s="4"/>
    </row>
    <row r="760">
      <c r="H760" s="4"/>
      <c r="I760" s="4"/>
    </row>
    <row r="761">
      <c r="H761" s="4"/>
      <c r="I761" s="4"/>
    </row>
    <row r="762">
      <c r="H762" s="4"/>
      <c r="I762" s="4"/>
    </row>
    <row r="763">
      <c r="H763" s="4"/>
      <c r="I763" s="4"/>
    </row>
    <row r="764">
      <c r="H764" s="4"/>
      <c r="I764" s="4"/>
    </row>
    <row r="765">
      <c r="H765" s="4"/>
      <c r="I765" s="4"/>
    </row>
    <row r="766">
      <c r="H766" s="4"/>
      <c r="I766" s="4"/>
    </row>
    <row r="767">
      <c r="H767" s="4"/>
      <c r="I767" s="4"/>
    </row>
    <row r="768">
      <c r="H768" s="4"/>
      <c r="I768" s="4"/>
    </row>
    <row r="769">
      <c r="H769" s="4"/>
      <c r="I769" s="4"/>
    </row>
    <row r="770">
      <c r="H770" s="4"/>
      <c r="I770" s="4"/>
    </row>
    <row r="771">
      <c r="H771" s="4"/>
      <c r="I771" s="4"/>
    </row>
    <row r="772">
      <c r="H772" s="4"/>
      <c r="I772" s="4"/>
    </row>
    <row r="773">
      <c r="H773" s="4"/>
      <c r="I773" s="4"/>
    </row>
    <row r="774">
      <c r="H774" s="4"/>
      <c r="I774" s="4"/>
    </row>
    <row r="775">
      <c r="H775" s="4"/>
      <c r="I775" s="4"/>
    </row>
    <row r="776">
      <c r="H776" s="4"/>
      <c r="I776" s="4"/>
    </row>
    <row r="777">
      <c r="H777" s="4"/>
      <c r="I777" s="4"/>
    </row>
    <row r="778">
      <c r="H778" s="4"/>
      <c r="I778" s="4"/>
    </row>
    <row r="779">
      <c r="H779" s="4"/>
      <c r="I779" s="4"/>
    </row>
    <row r="780">
      <c r="H780" s="4"/>
      <c r="I780" s="4"/>
    </row>
    <row r="781">
      <c r="H781" s="4"/>
      <c r="I781" s="4"/>
    </row>
    <row r="782">
      <c r="H782" s="4"/>
      <c r="I782" s="4"/>
    </row>
    <row r="783">
      <c r="H783" s="4"/>
      <c r="I783" s="4"/>
    </row>
    <row r="784">
      <c r="H784" s="4"/>
      <c r="I784" s="4"/>
    </row>
    <row r="785">
      <c r="H785" s="4"/>
      <c r="I785" s="4"/>
    </row>
    <row r="786">
      <c r="H786" s="4"/>
      <c r="I786" s="4"/>
    </row>
    <row r="787">
      <c r="H787" s="4"/>
      <c r="I787" s="4"/>
    </row>
    <row r="788">
      <c r="H788" s="4"/>
      <c r="I788" s="4"/>
    </row>
    <row r="789">
      <c r="H789" s="4"/>
      <c r="I789" s="4"/>
    </row>
    <row r="790">
      <c r="H790" s="4"/>
      <c r="I790" s="4"/>
    </row>
    <row r="791">
      <c r="H791" s="4"/>
      <c r="I791" s="4"/>
    </row>
    <row r="792">
      <c r="H792" s="4"/>
      <c r="I792" s="4"/>
    </row>
    <row r="793">
      <c r="H793" s="4"/>
      <c r="I793" s="4"/>
    </row>
    <row r="794">
      <c r="H794" s="4"/>
      <c r="I794" s="4"/>
    </row>
    <row r="795">
      <c r="H795" s="4"/>
      <c r="I795" s="4"/>
    </row>
    <row r="796">
      <c r="H796" s="4"/>
      <c r="I796" s="4"/>
    </row>
    <row r="797">
      <c r="H797" s="4"/>
      <c r="I797" s="4"/>
    </row>
    <row r="798">
      <c r="H798" s="4"/>
      <c r="I798" s="4"/>
    </row>
    <row r="799">
      <c r="H799" s="4"/>
      <c r="I799" s="4"/>
    </row>
    <row r="800">
      <c r="H800" s="4"/>
      <c r="I800" s="4"/>
    </row>
    <row r="801">
      <c r="H801" s="4"/>
      <c r="I801" s="4"/>
    </row>
    <row r="802">
      <c r="H802" s="4"/>
      <c r="I802" s="4"/>
    </row>
    <row r="803">
      <c r="H803" s="4"/>
      <c r="I803" s="4"/>
    </row>
    <row r="804">
      <c r="H804" s="4"/>
      <c r="I804" s="4"/>
    </row>
    <row r="805">
      <c r="H805" s="4"/>
      <c r="I805" s="4"/>
    </row>
    <row r="806">
      <c r="H806" s="4"/>
      <c r="I806" s="4"/>
    </row>
    <row r="807">
      <c r="H807" s="4"/>
      <c r="I807" s="4"/>
    </row>
    <row r="808">
      <c r="H808" s="4"/>
      <c r="I808" s="4"/>
    </row>
    <row r="809">
      <c r="H809" s="4"/>
      <c r="I809" s="4"/>
    </row>
    <row r="810">
      <c r="H810" s="4"/>
      <c r="I810" s="4"/>
    </row>
    <row r="811">
      <c r="H811" s="4"/>
      <c r="I811" s="4"/>
    </row>
    <row r="812">
      <c r="H812" s="4"/>
      <c r="I812" s="4"/>
    </row>
    <row r="813">
      <c r="H813" s="4"/>
      <c r="I813" s="4"/>
    </row>
    <row r="814">
      <c r="H814" s="4"/>
      <c r="I814" s="4"/>
    </row>
    <row r="815">
      <c r="H815" s="4"/>
      <c r="I815" s="4"/>
    </row>
    <row r="816">
      <c r="H816" s="4"/>
      <c r="I816" s="4"/>
    </row>
    <row r="817">
      <c r="H817" s="4"/>
      <c r="I817" s="4"/>
    </row>
    <row r="818">
      <c r="H818" s="4"/>
      <c r="I818" s="4"/>
    </row>
    <row r="819">
      <c r="H819" s="4"/>
      <c r="I819" s="4"/>
    </row>
    <row r="820">
      <c r="H820" s="4"/>
      <c r="I820" s="4"/>
    </row>
    <row r="821">
      <c r="H821" s="4"/>
      <c r="I821" s="4"/>
    </row>
    <row r="822">
      <c r="H822" s="4"/>
      <c r="I822" s="4"/>
    </row>
    <row r="823">
      <c r="H823" s="4"/>
      <c r="I823" s="4"/>
    </row>
    <row r="824">
      <c r="H824" s="4"/>
      <c r="I824" s="4"/>
    </row>
    <row r="825">
      <c r="H825" s="4"/>
      <c r="I825" s="4"/>
    </row>
    <row r="826">
      <c r="H826" s="4"/>
      <c r="I826" s="4"/>
    </row>
    <row r="827">
      <c r="H827" s="4"/>
      <c r="I827" s="4"/>
    </row>
    <row r="828">
      <c r="H828" s="4"/>
      <c r="I828" s="4"/>
    </row>
    <row r="829">
      <c r="H829" s="4"/>
      <c r="I829" s="4"/>
    </row>
    <row r="830">
      <c r="H830" s="4"/>
      <c r="I830" s="4"/>
    </row>
    <row r="831">
      <c r="H831" s="4"/>
      <c r="I831" s="4"/>
    </row>
    <row r="832">
      <c r="H832" s="4"/>
      <c r="I832" s="4"/>
    </row>
    <row r="833">
      <c r="H833" s="4"/>
      <c r="I833" s="4"/>
    </row>
    <row r="834">
      <c r="H834" s="4"/>
      <c r="I834" s="4"/>
    </row>
    <row r="835">
      <c r="H835" s="4"/>
      <c r="I835" s="4"/>
    </row>
    <row r="836">
      <c r="H836" s="4"/>
      <c r="I836" s="4"/>
    </row>
    <row r="837">
      <c r="H837" s="4"/>
      <c r="I837" s="4"/>
    </row>
    <row r="838">
      <c r="H838" s="4"/>
      <c r="I838" s="4"/>
    </row>
    <row r="839">
      <c r="H839" s="4"/>
      <c r="I839" s="4"/>
    </row>
    <row r="840">
      <c r="H840" s="4"/>
      <c r="I840" s="4"/>
    </row>
    <row r="841">
      <c r="H841" s="4"/>
      <c r="I841" s="4"/>
    </row>
    <row r="842">
      <c r="H842" s="4"/>
      <c r="I842" s="4"/>
    </row>
    <row r="843">
      <c r="H843" s="4"/>
      <c r="I843" s="4"/>
    </row>
    <row r="844">
      <c r="H844" s="4"/>
      <c r="I844" s="4"/>
    </row>
    <row r="845">
      <c r="H845" s="4"/>
      <c r="I845" s="4"/>
    </row>
    <row r="846">
      <c r="H846" s="4"/>
      <c r="I846" s="4"/>
    </row>
    <row r="847">
      <c r="H847" s="4"/>
      <c r="I847" s="4"/>
    </row>
    <row r="848">
      <c r="H848" s="4"/>
      <c r="I848" s="4"/>
    </row>
    <row r="849">
      <c r="H849" s="4"/>
      <c r="I849" s="4"/>
    </row>
    <row r="850">
      <c r="H850" s="4"/>
      <c r="I850" s="4"/>
    </row>
    <row r="851">
      <c r="H851" s="4"/>
      <c r="I851" s="4"/>
    </row>
    <row r="852">
      <c r="H852" s="4"/>
      <c r="I852" s="4"/>
    </row>
    <row r="853">
      <c r="H853" s="4"/>
      <c r="I853" s="4"/>
    </row>
    <row r="854">
      <c r="H854" s="4"/>
      <c r="I854" s="4"/>
    </row>
    <row r="855">
      <c r="H855" s="4"/>
      <c r="I855" s="4"/>
    </row>
    <row r="856">
      <c r="H856" s="4"/>
      <c r="I856" s="4"/>
    </row>
    <row r="857">
      <c r="H857" s="4"/>
      <c r="I857" s="4"/>
    </row>
    <row r="858">
      <c r="H858" s="4"/>
      <c r="I858" s="4"/>
    </row>
    <row r="859">
      <c r="H859" s="4"/>
      <c r="I859" s="4"/>
    </row>
    <row r="860">
      <c r="H860" s="4"/>
      <c r="I860" s="4"/>
    </row>
    <row r="861">
      <c r="H861" s="4"/>
      <c r="I861" s="4"/>
    </row>
    <row r="862">
      <c r="H862" s="4"/>
      <c r="I862" s="4"/>
    </row>
    <row r="863">
      <c r="H863" s="4"/>
      <c r="I863" s="4"/>
    </row>
    <row r="864">
      <c r="H864" s="4"/>
      <c r="I864" s="4"/>
    </row>
    <row r="865">
      <c r="H865" s="4"/>
      <c r="I865" s="4"/>
    </row>
    <row r="866">
      <c r="H866" s="4"/>
      <c r="I866" s="4"/>
    </row>
    <row r="867">
      <c r="H867" s="4"/>
      <c r="I867" s="4"/>
    </row>
    <row r="868">
      <c r="H868" s="4"/>
      <c r="I868" s="4"/>
    </row>
    <row r="869">
      <c r="H869" s="4"/>
      <c r="I869" s="4"/>
    </row>
    <row r="870">
      <c r="H870" s="4"/>
      <c r="I870" s="4"/>
    </row>
    <row r="871">
      <c r="H871" s="4"/>
      <c r="I871" s="4"/>
    </row>
    <row r="872">
      <c r="H872" s="4"/>
      <c r="I872" s="4"/>
    </row>
    <row r="873">
      <c r="H873" s="4"/>
      <c r="I873" s="4"/>
    </row>
    <row r="874">
      <c r="H874" s="4"/>
      <c r="I874" s="4"/>
    </row>
    <row r="875">
      <c r="H875" s="4"/>
      <c r="I875" s="4"/>
    </row>
    <row r="876">
      <c r="H876" s="4"/>
      <c r="I876" s="4"/>
    </row>
    <row r="877">
      <c r="H877" s="4"/>
      <c r="I877" s="4"/>
    </row>
    <row r="878">
      <c r="H878" s="4"/>
      <c r="I878" s="4"/>
    </row>
    <row r="879">
      <c r="H879" s="4"/>
      <c r="I879" s="4"/>
    </row>
    <row r="880">
      <c r="H880" s="4"/>
      <c r="I880" s="4"/>
    </row>
    <row r="881">
      <c r="H881" s="4"/>
      <c r="I881" s="4"/>
    </row>
    <row r="882">
      <c r="H882" s="4"/>
      <c r="I882" s="4"/>
    </row>
    <row r="883">
      <c r="H883" s="4"/>
      <c r="I883" s="4"/>
    </row>
    <row r="884">
      <c r="H884" s="4"/>
      <c r="I884" s="4"/>
    </row>
    <row r="885">
      <c r="H885" s="4"/>
      <c r="I885" s="4"/>
    </row>
    <row r="886">
      <c r="H886" s="4"/>
      <c r="I886" s="4"/>
    </row>
    <row r="887">
      <c r="H887" s="4"/>
      <c r="I887" s="4"/>
    </row>
    <row r="888">
      <c r="H888" s="4"/>
      <c r="I888" s="4"/>
    </row>
    <row r="889">
      <c r="H889" s="4"/>
      <c r="I889" s="4"/>
    </row>
    <row r="890">
      <c r="H890" s="4"/>
      <c r="I890" s="4"/>
    </row>
    <row r="891">
      <c r="H891" s="4"/>
      <c r="I891" s="4"/>
    </row>
    <row r="892">
      <c r="H892" s="4"/>
      <c r="I892" s="4"/>
    </row>
    <row r="893">
      <c r="H893" s="4"/>
      <c r="I893" s="4"/>
    </row>
    <row r="894">
      <c r="H894" s="4"/>
      <c r="I894" s="4"/>
    </row>
    <row r="895">
      <c r="H895" s="4"/>
      <c r="I895" s="4"/>
    </row>
    <row r="896">
      <c r="H896" s="4"/>
      <c r="I896" s="4"/>
    </row>
    <row r="897">
      <c r="H897" s="4"/>
      <c r="I897" s="4"/>
    </row>
    <row r="898">
      <c r="H898" s="4"/>
      <c r="I898" s="4"/>
    </row>
    <row r="899">
      <c r="H899" s="4"/>
      <c r="I899" s="4"/>
    </row>
    <row r="900">
      <c r="H900" s="4"/>
      <c r="I900" s="4"/>
    </row>
    <row r="901">
      <c r="H901" s="4"/>
      <c r="I901" s="4"/>
    </row>
    <row r="902">
      <c r="H902" s="4"/>
      <c r="I902" s="4"/>
    </row>
    <row r="903">
      <c r="H903" s="4"/>
      <c r="I903" s="4"/>
    </row>
    <row r="904">
      <c r="H904" s="4"/>
      <c r="I904" s="4"/>
    </row>
    <row r="905">
      <c r="H905" s="4"/>
      <c r="I905" s="4"/>
    </row>
    <row r="906">
      <c r="H906" s="4"/>
      <c r="I906" s="4"/>
    </row>
    <row r="907">
      <c r="H907" s="4"/>
      <c r="I907" s="4"/>
    </row>
    <row r="908">
      <c r="H908" s="4"/>
      <c r="I908" s="4"/>
    </row>
    <row r="909">
      <c r="H909" s="4"/>
      <c r="I909" s="4"/>
    </row>
    <row r="910">
      <c r="H910" s="4"/>
      <c r="I910" s="4"/>
    </row>
    <row r="911">
      <c r="H911" s="4"/>
      <c r="I911" s="4"/>
    </row>
    <row r="912">
      <c r="H912" s="4"/>
      <c r="I912" s="4"/>
    </row>
    <row r="913">
      <c r="H913" s="4"/>
      <c r="I913" s="4"/>
    </row>
    <row r="914">
      <c r="H914" s="4"/>
      <c r="I914" s="4"/>
    </row>
    <row r="915">
      <c r="H915" s="4"/>
      <c r="I915" s="4"/>
    </row>
    <row r="916">
      <c r="H916" s="4"/>
      <c r="I916" s="4"/>
    </row>
    <row r="917">
      <c r="H917" s="4"/>
      <c r="I917" s="4"/>
    </row>
    <row r="918">
      <c r="H918" s="4"/>
      <c r="I918" s="4"/>
    </row>
    <row r="919">
      <c r="H919" s="4"/>
      <c r="I919" s="4"/>
    </row>
    <row r="920">
      <c r="H920" s="4"/>
      <c r="I920" s="4"/>
    </row>
    <row r="921">
      <c r="H921" s="4"/>
      <c r="I921" s="4"/>
    </row>
    <row r="922">
      <c r="H922" s="4"/>
      <c r="I922" s="4"/>
    </row>
    <row r="923">
      <c r="H923" s="4"/>
      <c r="I923" s="4"/>
    </row>
    <row r="924">
      <c r="H924" s="4"/>
      <c r="I924" s="4"/>
    </row>
    <row r="925">
      <c r="H925" s="4"/>
      <c r="I925" s="4"/>
    </row>
    <row r="926">
      <c r="H926" s="4"/>
      <c r="I926" s="4"/>
    </row>
    <row r="927">
      <c r="H927" s="4"/>
      <c r="I927" s="4"/>
    </row>
    <row r="928">
      <c r="H928" s="4"/>
      <c r="I928" s="4"/>
    </row>
    <row r="929">
      <c r="H929" s="4"/>
      <c r="I929" s="4"/>
    </row>
    <row r="930">
      <c r="H930" s="4"/>
      <c r="I930" s="4"/>
    </row>
    <row r="931">
      <c r="H931" s="4"/>
      <c r="I931" s="4"/>
    </row>
    <row r="932">
      <c r="H932" s="4"/>
      <c r="I932" s="4"/>
    </row>
    <row r="933">
      <c r="H933" s="4"/>
      <c r="I933" s="4"/>
    </row>
    <row r="934">
      <c r="H934" s="4"/>
      <c r="I934" s="4"/>
    </row>
    <row r="935">
      <c r="H935" s="4"/>
      <c r="I935" s="4"/>
    </row>
    <row r="936">
      <c r="H936" s="4"/>
      <c r="I936" s="4"/>
    </row>
    <row r="937">
      <c r="H937" s="4"/>
      <c r="I937" s="4"/>
    </row>
    <row r="938">
      <c r="H938" s="4"/>
      <c r="I938" s="4"/>
    </row>
    <row r="939">
      <c r="H939" s="4"/>
      <c r="I939" s="4"/>
    </row>
    <row r="940">
      <c r="H940" s="4"/>
      <c r="I940" s="4"/>
    </row>
    <row r="941">
      <c r="H941" s="4"/>
      <c r="I941" s="4"/>
    </row>
    <row r="942">
      <c r="H942" s="4"/>
      <c r="I942" s="4"/>
    </row>
    <row r="943">
      <c r="H943" s="4"/>
      <c r="I943" s="4"/>
    </row>
    <row r="944">
      <c r="H944" s="4"/>
      <c r="I944" s="4"/>
    </row>
    <row r="945">
      <c r="H945" s="4"/>
      <c r="I945" s="4"/>
    </row>
    <row r="946">
      <c r="H946" s="4"/>
      <c r="I946" s="4"/>
    </row>
    <row r="947">
      <c r="H947" s="4"/>
      <c r="I947" s="4"/>
    </row>
    <row r="948">
      <c r="H948" s="4"/>
      <c r="I948" s="4"/>
    </row>
    <row r="949">
      <c r="H949" s="4"/>
      <c r="I949" s="4"/>
    </row>
    <row r="950">
      <c r="H950" s="4"/>
      <c r="I950" s="4"/>
    </row>
    <row r="951">
      <c r="H951" s="4"/>
      <c r="I951" s="4"/>
    </row>
    <row r="952">
      <c r="H952" s="4"/>
      <c r="I952" s="4"/>
    </row>
    <row r="953">
      <c r="H953" s="4"/>
      <c r="I953" s="4"/>
    </row>
    <row r="954">
      <c r="H954" s="4"/>
      <c r="I954" s="4"/>
    </row>
    <row r="955">
      <c r="H955" s="4"/>
      <c r="I955" s="4"/>
    </row>
    <row r="956">
      <c r="H956" s="4"/>
      <c r="I956" s="4"/>
    </row>
    <row r="957">
      <c r="H957" s="4"/>
      <c r="I957" s="4"/>
    </row>
    <row r="958">
      <c r="H958" s="4"/>
      <c r="I958" s="4"/>
    </row>
    <row r="959">
      <c r="H959" s="4"/>
      <c r="I959" s="4"/>
    </row>
    <row r="960">
      <c r="H960" s="4"/>
      <c r="I960" s="4"/>
    </row>
    <row r="961">
      <c r="H961" s="4"/>
      <c r="I961" s="4"/>
    </row>
    <row r="962">
      <c r="H962" s="4"/>
      <c r="I962" s="4"/>
    </row>
    <row r="963">
      <c r="H963" s="4"/>
      <c r="I963" s="4"/>
    </row>
    <row r="964">
      <c r="H964" s="4"/>
      <c r="I964" s="4"/>
    </row>
    <row r="965">
      <c r="H965" s="4"/>
      <c r="I965" s="4"/>
    </row>
    <row r="966">
      <c r="H966" s="4"/>
      <c r="I966" s="4"/>
    </row>
    <row r="967">
      <c r="H967" s="4"/>
      <c r="I967" s="4"/>
    </row>
    <row r="968">
      <c r="H968" s="4"/>
      <c r="I968" s="4"/>
    </row>
    <row r="969">
      <c r="H969" s="4"/>
      <c r="I969" s="4"/>
    </row>
    <row r="970">
      <c r="H970" s="4"/>
      <c r="I970" s="4"/>
    </row>
    <row r="971">
      <c r="H971" s="4"/>
      <c r="I971" s="4"/>
    </row>
    <row r="972">
      <c r="H972" s="4"/>
      <c r="I972" s="4"/>
    </row>
    <row r="973">
      <c r="H973" s="4"/>
      <c r="I973" s="4"/>
    </row>
    <row r="974">
      <c r="H974" s="4"/>
      <c r="I974" s="4"/>
    </row>
    <row r="975">
      <c r="H975" s="4"/>
      <c r="I975" s="4"/>
    </row>
    <row r="976">
      <c r="H976" s="4"/>
      <c r="I976" s="4"/>
    </row>
    <row r="977">
      <c r="H977" s="4"/>
      <c r="I977" s="4"/>
    </row>
    <row r="978">
      <c r="H978" s="4"/>
      <c r="I978" s="4"/>
    </row>
    <row r="979">
      <c r="H979" s="4"/>
      <c r="I979" s="4"/>
    </row>
    <row r="980">
      <c r="H980" s="4"/>
      <c r="I980" s="4"/>
    </row>
    <row r="981">
      <c r="H981" s="4"/>
      <c r="I981" s="4"/>
    </row>
    <row r="982">
      <c r="H982" s="4"/>
      <c r="I982" s="4"/>
    </row>
    <row r="983">
      <c r="H983" s="4"/>
      <c r="I983" s="4"/>
    </row>
    <row r="984">
      <c r="H984" s="4"/>
      <c r="I984" s="4"/>
    </row>
    <row r="985">
      <c r="H985" s="4"/>
      <c r="I985" s="4"/>
    </row>
    <row r="986">
      <c r="H986" s="4"/>
      <c r="I986" s="4"/>
    </row>
    <row r="987">
      <c r="H987" s="4"/>
      <c r="I987" s="4"/>
    </row>
    <row r="988">
      <c r="H988" s="4"/>
      <c r="I988" s="4"/>
    </row>
    <row r="989">
      <c r="H989" s="4"/>
      <c r="I989" s="4"/>
    </row>
    <row r="990">
      <c r="H990" s="4"/>
      <c r="I990" s="4"/>
    </row>
    <row r="991">
      <c r="H991" s="4"/>
      <c r="I991" s="4"/>
    </row>
    <row r="992">
      <c r="H992" s="4"/>
      <c r="I992" s="4"/>
    </row>
    <row r="993">
      <c r="H993" s="4"/>
      <c r="I993" s="4"/>
    </row>
    <row r="994">
      <c r="H994" s="4"/>
      <c r="I994" s="4"/>
    </row>
    <row r="995">
      <c r="H995" s="4"/>
      <c r="I995" s="4"/>
    </row>
    <row r="996">
      <c r="H996" s="4"/>
      <c r="I996" s="4"/>
    </row>
    <row r="997">
      <c r="H997" s="4"/>
      <c r="I997" s="4"/>
    </row>
    <row r="998">
      <c r="H998" s="4"/>
      <c r="I998" s="4"/>
    </row>
    <row r="999">
      <c r="H999" s="4"/>
      <c r="I999" s="4"/>
    </row>
    <row r="1000">
      <c r="H1000" s="4"/>
      <c r="I1000" s="4"/>
    </row>
    <row r="1001">
      <c r="H1001" s="4"/>
      <c r="I1001" s="4"/>
    </row>
  </sheetData>
  <hyperlinks>
    <hyperlink r:id="rId1" ref="N2"/>
    <hyperlink r:id="rId2" ref="O2"/>
    <hyperlink r:id="rId3" ref="P2"/>
    <hyperlink r:id="rId4" ref="O3"/>
    <hyperlink r:id="rId5" ref="P3"/>
    <hyperlink r:id="rId6" ref="N4"/>
    <hyperlink r:id="rId7" ref="O4"/>
    <hyperlink r:id="rId8" ref="P4"/>
    <hyperlink r:id="rId9" ref="N5"/>
    <hyperlink r:id="rId10" ref="O5"/>
    <hyperlink r:id="rId11" ref="P5"/>
    <hyperlink r:id="rId12" ref="N6"/>
    <hyperlink r:id="rId13" ref="O6"/>
    <hyperlink r:id="rId14" ref="P6"/>
    <hyperlink r:id="rId15" ref="N7"/>
    <hyperlink r:id="rId16" ref="O7"/>
    <hyperlink r:id="rId17" ref="P7"/>
    <hyperlink r:id="rId18" ref="P8"/>
    <hyperlink r:id="rId19" ref="P10"/>
    <hyperlink r:id="rId20" ref="N11"/>
    <hyperlink r:id="rId21" ref="O11"/>
    <hyperlink r:id="rId22" ref="P11"/>
    <hyperlink r:id="rId23" ref="N12"/>
    <hyperlink r:id="rId24" ref="O12"/>
    <hyperlink r:id="rId25" ref="N13"/>
    <hyperlink r:id="rId26" ref="O13"/>
    <hyperlink r:id="rId27" ref="P13"/>
    <hyperlink r:id="rId28" ref="N14"/>
    <hyperlink r:id="rId29" ref="P14"/>
    <hyperlink r:id="rId30" ref="N15"/>
    <hyperlink r:id="rId31" ref="O15"/>
    <hyperlink r:id="rId32" ref="P15"/>
    <hyperlink r:id="rId33" ref="N16"/>
    <hyperlink r:id="rId34" ref="O16"/>
    <hyperlink r:id="rId35" ref="P16"/>
    <hyperlink r:id="rId36" ref="N17"/>
    <hyperlink r:id="rId37" ref="O17"/>
    <hyperlink r:id="rId38" ref="P17"/>
    <hyperlink r:id="rId39" ref="N18"/>
    <hyperlink r:id="rId40" ref="O18"/>
    <hyperlink r:id="rId41" ref="P18"/>
    <hyperlink r:id="rId42" ref="N19"/>
    <hyperlink r:id="rId43" ref="O19"/>
    <hyperlink r:id="rId44" ref="P19"/>
    <hyperlink r:id="rId45" ref="N20"/>
    <hyperlink r:id="rId46" ref="O20"/>
    <hyperlink r:id="rId47" ref="P20"/>
    <hyperlink r:id="rId48" ref="N21"/>
    <hyperlink r:id="rId49" ref="O21"/>
    <hyperlink r:id="rId50" ref="P21"/>
    <hyperlink r:id="rId51" ref="N22"/>
    <hyperlink r:id="rId52" ref="O22"/>
    <hyperlink r:id="rId53" ref="P22"/>
    <hyperlink r:id="rId54" ref="N23"/>
    <hyperlink r:id="rId55" ref="O23"/>
    <hyperlink r:id="rId56" ref="P23"/>
    <hyperlink r:id="rId57" ref="N24"/>
    <hyperlink r:id="rId58" ref="O24"/>
    <hyperlink r:id="rId59" ref="P24"/>
    <hyperlink r:id="rId60" ref="N25"/>
    <hyperlink r:id="rId61" ref="O25"/>
    <hyperlink r:id="rId62" ref="P25"/>
    <hyperlink r:id="rId63" ref="N26"/>
    <hyperlink r:id="rId64" ref="O26"/>
    <hyperlink r:id="rId65" ref="P26"/>
    <hyperlink r:id="rId66" ref="N27"/>
    <hyperlink r:id="rId67" ref="O27"/>
    <hyperlink r:id="rId68" ref="P27"/>
    <hyperlink r:id="rId69" ref="N28"/>
    <hyperlink r:id="rId70" ref="O28"/>
    <hyperlink r:id="rId71" ref="P28"/>
    <hyperlink r:id="rId72" ref="N29"/>
    <hyperlink r:id="rId73" ref="O29"/>
    <hyperlink r:id="rId74" ref="P29"/>
    <hyperlink r:id="rId75" ref="N30"/>
    <hyperlink r:id="rId76" ref="P30"/>
    <hyperlink r:id="rId77" ref="N31"/>
    <hyperlink r:id="rId78" ref="O31"/>
    <hyperlink r:id="rId79" ref="P31"/>
    <hyperlink r:id="rId80" ref="N32"/>
    <hyperlink r:id="rId81" ref="O32"/>
    <hyperlink r:id="rId82" ref="P32"/>
    <hyperlink r:id="rId83" ref="O33"/>
    <hyperlink r:id="rId84" ref="P33"/>
    <hyperlink r:id="rId85" ref="N34"/>
    <hyperlink r:id="rId86" ref="O34"/>
    <hyperlink r:id="rId87" ref="P34"/>
    <hyperlink r:id="rId88" ref="N35"/>
    <hyperlink r:id="rId89" ref="P35"/>
    <hyperlink r:id="rId90" ref="N36"/>
    <hyperlink r:id="rId91" ref="O36"/>
    <hyperlink r:id="rId92" ref="P36"/>
    <hyperlink r:id="rId93" ref="N37"/>
    <hyperlink r:id="rId94" ref="O37"/>
    <hyperlink r:id="rId95" ref="P37"/>
    <hyperlink r:id="rId96" ref="N38"/>
    <hyperlink r:id="rId97" ref="O38"/>
    <hyperlink r:id="rId98" ref="P38"/>
    <hyperlink r:id="rId99" ref="N39"/>
    <hyperlink r:id="rId100" ref="O39"/>
    <hyperlink r:id="rId101" ref="P39"/>
    <hyperlink r:id="rId102" ref="N40"/>
    <hyperlink r:id="rId103" ref="O40"/>
    <hyperlink r:id="rId104" ref="P40"/>
    <hyperlink r:id="rId105" ref="P41"/>
    <hyperlink r:id="rId106" ref="N42"/>
    <hyperlink r:id="rId107" ref="O42"/>
    <hyperlink r:id="rId108" ref="P42"/>
    <hyperlink r:id="rId109" ref="N43"/>
    <hyperlink r:id="rId110" ref="O43"/>
    <hyperlink r:id="rId111" ref="P43"/>
    <hyperlink r:id="rId112" ref="N44"/>
    <hyperlink r:id="rId113" ref="N45"/>
    <hyperlink r:id="rId114" ref="N46"/>
    <hyperlink r:id="rId115" ref="N47"/>
    <hyperlink r:id="rId116" ref="N48"/>
    <hyperlink r:id="rId117" ref="N49"/>
    <hyperlink r:id="rId118" ref="N50"/>
    <hyperlink r:id="rId119" ref="N52"/>
    <hyperlink r:id="rId120" ref="N53"/>
    <hyperlink r:id="rId121" ref="N54"/>
    <hyperlink r:id="rId122" ref="N55"/>
    <hyperlink r:id="rId123" ref="N56"/>
    <hyperlink r:id="rId124" ref="N57"/>
    <hyperlink r:id="rId125" ref="N58"/>
    <hyperlink r:id="rId126" ref="N59"/>
    <hyperlink r:id="rId127" ref="N60"/>
    <hyperlink r:id="rId128" ref="N61"/>
    <hyperlink r:id="rId129" ref="N62"/>
    <hyperlink r:id="rId130" ref="N64"/>
    <hyperlink r:id="rId131" ref="N65"/>
    <hyperlink r:id="rId132" ref="N66"/>
    <hyperlink r:id="rId133" ref="N67"/>
    <hyperlink r:id="rId134" ref="N68"/>
    <hyperlink r:id="rId135" ref="N69"/>
    <hyperlink r:id="rId136" ref="N70"/>
    <hyperlink r:id="rId137" ref="N71"/>
  </hyperlinks>
  <drawing r:id="rId1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0</v>
      </c>
      <c r="B1" s="9" t="s">
        <v>1</v>
      </c>
      <c r="C1" s="10" t="s">
        <v>18</v>
      </c>
      <c r="D1" s="9" t="s">
        <v>2</v>
      </c>
      <c r="E1" s="9" t="s">
        <v>3</v>
      </c>
      <c r="F1" s="9" t="s">
        <v>4</v>
      </c>
      <c r="G1" s="9" t="s">
        <v>5</v>
      </c>
      <c r="H1" s="9" t="s">
        <v>6</v>
      </c>
      <c r="I1" s="9" t="s">
        <v>7</v>
      </c>
      <c r="J1" s="9" t="s">
        <v>8</v>
      </c>
      <c r="K1" s="9" t="s">
        <v>9</v>
      </c>
      <c r="L1" s="9" t="s">
        <v>10</v>
      </c>
      <c r="M1" s="9" t="s">
        <v>11</v>
      </c>
      <c r="N1" s="9" t="s">
        <v>12</v>
      </c>
      <c r="O1" s="11" t="s">
        <v>13</v>
      </c>
      <c r="P1" s="9" t="s">
        <v>14</v>
      </c>
      <c r="Q1" s="9" t="s">
        <v>15</v>
      </c>
      <c r="R1" s="9" t="s">
        <v>16</v>
      </c>
      <c r="S1" s="9" t="s">
        <v>17</v>
      </c>
    </row>
    <row r="2">
      <c r="A2" s="3" t="str">
        <f>IFERROR(__xludf.DUMMYFUNCTION("query(importrange(Links!B2, ""FD Partner IDs!A2:AK""),""Select Col1, Col4, Col10, Col16, Col18, Col19, Col20, Col21, Col22, Col23, Col24, Col25, Col26, Col27, Col28, Col29, Col30, Col17, Col31 where Col10 = TRUE"",0)"),"61st Street Farmers Market")</f>
        <v>61st Street Farmers Market</v>
      </c>
      <c r="B2" s="3" t="str">
        <f>IFERROR(__xludf.DUMMYFUNCTION("""COMPUTED_VALUE"""),"Farmers Market")</f>
        <v>Farmers Market</v>
      </c>
      <c r="C2" s="3" t="b">
        <f>IFERROR(__xludf.DUMMYFUNCTION("""COMPUTED_VALUE"""),TRUE)</f>
        <v>1</v>
      </c>
      <c r="D2" s="3" t="str">
        <f>IFERROR(__xludf.DUMMYFUNCTION("""COMPUTED_VALUE"""),"41.78419797229684, -87.59057787685639")</f>
        <v>41.78419797229684, -87.59057787685639</v>
      </c>
      <c r="E2" s="3" t="str">
        <f>IFERROR(__xludf.DUMMYFUNCTION("""COMPUTED_VALUE"""),"6100 S Blackstone Ave")</f>
        <v>6100 S Blackstone Ave</v>
      </c>
      <c r="F2" s="3"/>
      <c r="G2" s="3" t="str">
        <f>IFERROR(__xludf.DUMMYFUNCTION("""COMPUTED_VALUE"""),"Chicago")</f>
        <v>Chicago</v>
      </c>
      <c r="H2" s="3" t="str">
        <f>IFERROR(__xludf.DUMMYFUNCTION("""COMPUTED_VALUE"""),"IL")</f>
        <v>IL</v>
      </c>
      <c r="I2" s="3">
        <f>IFERROR(__xludf.DUMMYFUNCTION("""COMPUTED_VALUE"""),60637.0)</f>
        <v>60637</v>
      </c>
      <c r="J2" s="7">
        <f>IFERROR(__xludf.DUMMYFUNCTION("""COMPUTED_VALUE"""),45962.0)</f>
        <v>45962</v>
      </c>
      <c r="K2" s="7">
        <f>IFERROR(__xludf.DUMMYFUNCTION("""COMPUTED_VALUE"""),46123.0)</f>
        <v>46123</v>
      </c>
      <c r="L2" s="3" t="str">
        <f>IFERROR(__xludf.DUMMYFUNCTION("""COMPUTED_VALUE"""),"Saturday")</f>
        <v>Saturday</v>
      </c>
      <c r="M2" s="3" t="str">
        <f>IFERROR(__xludf.DUMMYFUNCTION("""COMPUTED_VALUE"""),"09:00 AM - 02:00 PM")</f>
        <v>09:00 AM - 02:00 PM</v>
      </c>
      <c r="N2" s="3" t="str">
        <f>IFERROR(__xludf.DUMMYFUNCTION("""COMPUTED_VALUE"""),"Other")</f>
        <v>Other</v>
      </c>
      <c r="O2" s="6" t="str">
        <f>IFERROR(__xludf.DUMMYFUNCTION("""COMPUTED_VALUE"""),"http://61market.org/")</f>
        <v>http://61market.org/</v>
      </c>
      <c r="P2" s="6" t="str">
        <f>IFERROR(__xludf.DUMMYFUNCTION("""COMPUTED_VALUE"""),"http://www.instagram.com/61market")</f>
        <v>http://www.instagram.com/61market</v>
      </c>
      <c r="Q2" s="6" t="str">
        <f>IFERROR(__xludf.DUMMYFUNCTION("""COMPUTED_VALUE"""),"http://www.facebook.com/61market")</f>
        <v>http://www.facebook.com/61market</v>
      </c>
      <c r="R2" s="3" t="str">
        <f>IFERROR(__xludf.DUMMYFUNCTION("""COMPUTED_VALUE"""),"Chicago")</f>
        <v>Chicago</v>
      </c>
      <c r="S2" s="3" t="str">
        <f>IFERROR(__xludf.DUMMYFUNCTION("""COMPUTED_VALUE"""),"Nov 1, 6, 15, 22 | Dec 6, 13, 20 | Jan 10 | Feb 14 | Mar 14 | Apr 11")</f>
        <v>Nov 1, 6, 15, 22 | Dec 6, 13, 20 | Jan 10 | Feb 14 | Mar 14 | Apr 11</v>
      </c>
    </row>
    <row r="3">
      <c r="A3" s="3" t="str">
        <f>IFERROR(__xludf.DUMMYFUNCTION("""COMPUTED_VALUE"""),"Austin Harvest")</f>
        <v>Austin Harvest</v>
      </c>
      <c r="B3" s="3" t="str">
        <f>IFERROR(__xludf.DUMMYFUNCTION("""COMPUTED_VALUE"""),"Retail Space")</f>
        <v>Retail Space</v>
      </c>
      <c r="C3" s="3" t="b">
        <f>IFERROR(__xludf.DUMMYFUNCTION("""COMPUTED_VALUE"""),TRUE)</f>
        <v>1</v>
      </c>
      <c r="D3" s="3" t="str">
        <f>IFERROR(__xludf.DUMMYFUNCTION("""COMPUTED_VALUE"""),"41.8887111986278, -87.75517293668456")</f>
        <v>41.8887111986278, -87.75517293668456</v>
      </c>
      <c r="E3" s="3" t="str">
        <f>IFERROR(__xludf.DUMMYFUNCTION("""COMPUTED_VALUE"""),"415 N Laramie Ave")</f>
        <v>415 N Laramie Ave</v>
      </c>
      <c r="F3" s="3"/>
      <c r="G3" s="3" t="str">
        <f>IFERROR(__xludf.DUMMYFUNCTION("""COMPUTED_VALUE"""),"Chicago")</f>
        <v>Chicago</v>
      </c>
      <c r="H3" s="3" t="str">
        <f>IFERROR(__xludf.DUMMYFUNCTION("""COMPUTED_VALUE"""),"IL")</f>
        <v>IL</v>
      </c>
      <c r="I3" s="3">
        <f>IFERROR(__xludf.DUMMYFUNCTION("""COMPUTED_VALUE"""),60644.0)</f>
        <v>60644</v>
      </c>
      <c r="J3" s="7">
        <f>IFERROR(__xludf.DUMMYFUNCTION("""COMPUTED_VALUE"""),45658.0)</f>
        <v>45658</v>
      </c>
      <c r="K3" s="7">
        <f>IFERROR(__xludf.DUMMYFUNCTION("""COMPUTED_VALUE"""),46022.0)</f>
        <v>46022</v>
      </c>
      <c r="L3" s="3" t="str">
        <f>IFERROR(__xludf.DUMMYFUNCTION("""COMPUTED_VALUE"""),"Tuesday, Wednesday, Thursday")</f>
        <v>Tuesday, Wednesday, Thursday</v>
      </c>
      <c r="M3" s="3" t="str">
        <f>IFERROR(__xludf.DUMMYFUNCTION("""COMPUTED_VALUE"""),"12:00 PM - 06:00 PM 12:00 PM - 06:00 PM 12:00 PM - 06:00 PM")</f>
        <v>12:00 PM - 06:00 PM 12:00 PM - 06:00 PM 12:00 PM - 06:00 PM</v>
      </c>
      <c r="N3" s="3" t="str">
        <f>IFERROR(__xludf.DUMMYFUNCTION("""COMPUTED_VALUE"""),"Weekly")</f>
        <v>Weekly</v>
      </c>
      <c r="O3" s="3"/>
      <c r="P3" s="6" t="str">
        <f>IFERROR(__xludf.DUMMYFUNCTION("""COMPUTED_VALUE"""),"https://www.instagram.com/austinharvestfreshmarket/?hl=en")</f>
        <v>https://www.instagram.com/austinharvestfreshmarket/?hl=en</v>
      </c>
      <c r="Q3" s="6" t="str">
        <f>IFERROR(__xludf.DUMMYFUNCTION("""COMPUTED_VALUE"""),"https://www.facebook.com/search/top?q=austin%20harvest")</f>
        <v>https://www.facebook.com/search/top?q=austin%20harvest</v>
      </c>
      <c r="R3" s="3" t="str">
        <f>IFERROR(__xludf.DUMMYFUNCTION("""COMPUTED_VALUE"""),"Chicago")</f>
        <v>Chicago</v>
      </c>
      <c r="S3" s="3"/>
    </row>
    <row r="4">
      <c r="A4" s="3" t="str">
        <f>IFERROR(__xludf.DUMMYFUNCTION("""COMPUTED_VALUE"""),"Batavia Indoor Market")</f>
        <v>Batavia Indoor Market</v>
      </c>
      <c r="B4" s="3" t="str">
        <f>IFERROR(__xludf.DUMMYFUNCTION("""COMPUTED_VALUE"""),"Winter Market")</f>
        <v>Winter Market</v>
      </c>
      <c r="C4" s="3" t="b">
        <f>IFERROR(__xludf.DUMMYFUNCTION("""COMPUTED_VALUE"""),TRUE)</f>
        <v>1</v>
      </c>
      <c r="D4" s="3" t="str">
        <f>IFERROR(__xludf.DUMMYFUNCTION("""COMPUTED_VALUE"""),"41.847483464218634, -88.30923973480688")</f>
        <v>41.847483464218634, -88.30923973480688</v>
      </c>
      <c r="E4" s="3" t="str">
        <f>IFERROR(__xludf.DUMMYFUNCTION("""COMPUTED_VALUE"""),"131 Flinn St")</f>
        <v>131 Flinn St</v>
      </c>
      <c r="F4" s="3" t="str">
        <f>IFERROR(__xludf.DUMMYFUNCTION("""COMPUTED_VALUE"""),"Suite C")</f>
        <v>Suite C</v>
      </c>
      <c r="G4" s="3" t="str">
        <f>IFERROR(__xludf.DUMMYFUNCTION("""COMPUTED_VALUE"""),"Batavia")</f>
        <v>Batavia</v>
      </c>
      <c r="H4" s="3" t="str">
        <f>IFERROR(__xludf.DUMMYFUNCTION("""COMPUTED_VALUE"""),"IL")</f>
        <v>IL</v>
      </c>
      <c r="I4" s="3">
        <f>IFERROR(__xludf.DUMMYFUNCTION("""COMPUTED_VALUE"""),60510.0)</f>
        <v>60510</v>
      </c>
      <c r="J4" s="7">
        <f>IFERROR(__xludf.DUMMYFUNCTION("""COMPUTED_VALUE"""),45962.0)</f>
        <v>45962</v>
      </c>
      <c r="K4" s="7">
        <f>IFERROR(__xludf.DUMMYFUNCTION("""COMPUTED_VALUE"""),46151.0)</f>
        <v>46151</v>
      </c>
      <c r="L4" s="3" t="str">
        <f>IFERROR(__xludf.DUMMYFUNCTION("""COMPUTED_VALUE"""),"Saturday")</f>
        <v>Saturday</v>
      </c>
      <c r="M4" s="3" t="str">
        <f>IFERROR(__xludf.DUMMYFUNCTION("""COMPUTED_VALUE"""),"09:00 AM - 12:00 PM")</f>
        <v>09:00 AM - 12:00 PM</v>
      </c>
      <c r="N4" s="3" t="str">
        <f>IFERROR(__xludf.DUMMYFUNCTION("""COMPUTED_VALUE"""),"Weekly")</f>
        <v>Weekly</v>
      </c>
      <c r="O4" s="6" t="str">
        <f>IFERROR(__xludf.DUMMYFUNCTION("""COMPUTED_VALUE"""),"https://downtownbatavia.com/farmers-markets/")</f>
        <v>https://downtownbatavia.com/farmers-markets/</v>
      </c>
      <c r="P4" s="6" t="str">
        <f>IFERROR(__xludf.DUMMYFUNCTION("""COMPUTED_VALUE"""),"http://www.instagram.com/bataviafarmersmarket/")</f>
        <v>http://www.instagram.com/bataviafarmersmarket/</v>
      </c>
      <c r="Q4" s="6" t="str">
        <f>IFERROR(__xludf.DUMMYFUNCTION("""COMPUTED_VALUE"""),"http://www.facebook.com/BataviaFarmersMarket")</f>
        <v>http://www.facebook.com/BataviaFarmersMarket</v>
      </c>
      <c r="R4" s="3" t="str">
        <f>IFERROR(__xludf.DUMMYFUNCTION("""COMPUTED_VALUE"""),"Chicago Suburbs")</f>
        <v>Chicago Suburbs</v>
      </c>
      <c r="S4" s="3"/>
    </row>
    <row r="5">
      <c r="A5" s="3" t="str">
        <f>IFERROR(__xludf.DUMMYFUNCTION("""COMPUTED_VALUE"""),"Belleville Farmer's Market (N Belt West)")</f>
        <v>Belleville Farmer's Market (N Belt West)</v>
      </c>
      <c r="B5" s="3" t="str">
        <f>IFERROR(__xludf.DUMMYFUNCTION("""COMPUTED_VALUE"""),"Retail Space")</f>
        <v>Retail Space</v>
      </c>
      <c r="C5" s="3" t="b">
        <f>IFERROR(__xludf.DUMMYFUNCTION("""COMPUTED_VALUE"""),TRUE)</f>
        <v>1</v>
      </c>
      <c r="D5" s="3" t="str">
        <f>IFERROR(__xludf.DUMMYFUNCTION("""COMPUTED_VALUE"""),"38.54208631174143, -90.00550764469757")</f>
        <v>38.54208631174143, -90.00550764469757</v>
      </c>
      <c r="E5" s="3" t="str">
        <f>IFERROR(__xludf.DUMMYFUNCTION("""COMPUTED_VALUE"""),"1901 N Belt West")</f>
        <v>1901 N Belt West</v>
      </c>
      <c r="F5" s="3"/>
      <c r="G5" s="3" t="str">
        <f>IFERROR(__xludf.DUMMYFUNCTION("""COMPUTED_VALUE"""),"Belleville")</f>
        <v>Belleville</v>
      </c>
      <c r="H5" s="3" t="str">
        <f>IFERROR(__xludf.DUMMYFUNCTION("""COMPUTED_VALUE"""),"IL")</f>
        <v>IL</v>
      </c>
      <c r="I5" s="3">
        <f>IFERROR(__xludf.DUMMYFUNCTION("""COMPUTED_VALUE"""),62226.0)</f>
        <v>62226</v>
      </c>
      <c r="J5" s="7">
        <f>IFERROR(__xludf.DUMMYFUNCTION("""COMPUTED_VALUE"""),45778.0)</f>
        <v>45778</v>
      </c>
      <c r="K5" s="7">
        <f>IFERROR(__xludf.DUMMYFUNCTION("""COMPUTED_VALUE"""),46022.0)</f>
        <v>46022</v>
      </c>
      <c r="L5" s="3" t="str">
        <f>IFERROR(__xludf.DUMMYFUNCTION("""COMPUTED_VALUE"""),"Monday, Tuesday, Wednesday, Thursday, Friday, Saturday, Sunday")</f>
        <v>Monday, Tuesday, Wednesday, Thursday, Friday, Saturday, Sunday</v>
      </c>
      <c r="M5" s="3" t="str">
        <f>IFERROR(__xludf.DUMMYFUNCTION("""COMPUTED_VALUE"""),"08:00 AM - 06:00 PM 08:00 AM - 06:00 PM 08:00 AM - 06:00 PM 08:00 AM - 06:00 PM 08:00 AM - 06:00 PM 09:00 AM - 05:00 PM 09:00 AM - 05:00 PM")</f>
        <v>08:00 AM - 06:00 PM 08:00 AM - 06:00 PM 08:00 AM - 06:00 PM 08:00 AM - 06:00 PM 08:00 AM - 06:00 PM 09:00 AM - 05:00 PM 09:00 AM - 05:00 PM</v>
      </c>
      <c r="N5" s="3" t="str">
        <f>IFERROR(__xludf.DUMMYFUNCTION("""COMPUTED_VALUE"""),"Weekly")</f>
        <v>Weekly</v>
      </c>
      <c r="O5" s="6" t="str">
        <f>IFERROR(__xludf.DUMMYFUNCTION("""COMPUTED_VALUE"""),"http://www.farmersmarketbelleville.com")</f>
        <v>http://www.farmersmarketbelleville.com</v>
      </c>
      <c r="P5" s="6" t="str">
        <f>IFERROR(__xludf.DUMMYFUNCTION("""COMPUTED_VALUE"""),"http://www.instagram.com/farmersmarketbelleville")</f>
        <v>http://www.instagram.com/farmersmarketbelleville</v>
      </c>
      <c r="Q5" s="6" t="str">
        <f>IFERROR(__xludf.DUMMYFUNCTION("""COMPUTED_VALUE"""),"http://www.facebook.com/farmersmarketnorthillinois/")</f>
        <v>http://www.facebook.com/farmersmarketnorthillinois/</v>
      </c>
      <c r="R5" s="3" t="str">
        <f>IFERROR(__xludf.DUMMYFUNCTION("""COMPUTED_VALUE"""),"Southern IL")</f>
        <v>Southern IL</v>
      </c>
      <c r="S5" s="3"/>
    </row>
    <row r="6">
      <c r="A6" s="3" t="str">
        <f>IFERROR(__xludf.DUMMYFUNCTION("""COMPUTED_VALUE"""),"Champaign-Urbana Winter Farmers Market")</f>
        <v>Champaign-Urbana Winter Farmers Market</v>
      </c>
      <c r="B6" s="3" t="str">
        <f>IFERROR(__xludf.DUMMYFUNCTION("""COMPUTED_VALUE"""),"Winter Market")</f>
        <v>Winter Market</v>
      </c>
      <c r="C6" s="3" t="b">
        <f>IFERROR(__xludf.DUMMYFUNCTION("""COMPUTED_VALUE"""),TRUE)</f>
        <v>1</v>
      </c>
      <c r="D6" s="3" t="str">
        <f>IFERROR(__xludf.DUMMYFUNCTION("""COMPUTED_VALUE"""),"40.11109107925791, -88.20738620292884")</f>
        <v>40.11109107925791, -88.20738620292884</v>
      </c>
      <c r="E6" s="3" t="str">
        <f>IFERROR(__xludf.DUMMYFUNCTION("""COMPUTED_VALUE"""),"201 Lincoln Square")</f>
        <v>201 Lincoln Square</v>
      </c>
      <c r="F6" s="3"/>
      <c r="G6" s="3" t="str">
        <f>IFERROR(__xludf.DUMMYFUNCTION("""COMPUTED_VALUE"""),"Urbana")</f>
        <v>Urbana</v>
      </c>
      <c r="H6" s="3" t="str">
        <f>IFERROR(__xludf.DUMMYFUNCTION("""COMPUTED_VALUE"""),"IL")</f>
        <v>IL</v>
      </c>
      <c r="I6" s="3">
        <f>IFERROR(__xludf.DUMMYFUNCTION("""COMPUTED_VALUE"""),61801.0)</f>
        <v>61801</v>
      </c>
      <c r="J6" s="7">
        <f>IFERROR(__xludf.DUMMYFUNCTION("""COMPUTED_VALUE"""),45962.0)</f>
        <v>45962</v>
      </c>
      <c r="K6" s="7">
        <f>IFERROR(__xludf.DUMMYFUNCTION("""COMPUTED_VALUE"""),46137.0)</f>
        <v>46137</v>
      </c>
      <c r="L6" s="3" t="str">
        <f>IFERROR(__xludf.DUMMYFUNCTION("""COMPUTED_VALUE"""),"Saturday")</f>
        <v>Saturday</v>
      </c>
      <c r="M6" s="3" t="str">
        <f>IFERROR(__xludf.DUMMYFUNCTION("""COMPUTED_VALUE"""),"08:00 AM - 12:00 PM")</f>
        <v>08:00 AM - 12:00 PM</v>
      </c>
      <c r="N6" s="3" t="str">
        <f>IFERROR(__xludf.DUMMYFUNCTION("""COMPUTED_VALUE"""),"Weekly")</f>
        <v>Weekly</v>
      </c>
      <c r="O6" s="6" t="str">
        <f>IFERROR(__xludf.DUMMYFUNCTION("""COMPUTED_VALUE"""),"http://www.thelandconnection.org/champaign-farmers-market/")</f>
        <v>http://www.thelandconnection.org/champaign-farmers-market/</v>
      </c>
      <c r="P6" s="6" t="str">
        <f>IFERROR(__xludf.DUMMYFUNCTION("""COMPUTED_VALUE"""),"http://www.instagram.com/cufarmersmarkets/")</f>
        <v>http://www.instagram.com/cufarmersmarkets/</v>
      </c>
      <c r="Q6" s="6" t="str">
        <f>IFERROR(__xludf.DUMMYFUNCTION("""COMPUTED_VALUE"""),"http://www.facebook.com/CUFarmersMarkets/")</f>
        <v>http://www.facebook.com/CUFarmersMarkets/</v>
      </c>
      <c r="R6" s="3" t="str">
        <f>IFERROR(__xludf.DUMMYFUNCTION("""COMPUTED_VALUE"""),"Central IL")</f>
        <v>Central IL</v>
      </c>
      <c r="S6" s="3"/>
    </row>
    <row r="7">
      <c r="A7" s="3" t="str">
        <f>IFERROR(__xludf.DUMMYFUNCTION("""COMPUTED_VALUE"""),"Chicago Patchwork Farms - CSA")</f>
        <v>Chicago Patchwork Farms - CSA</v>
      </c>
      <c r="B7" s="3" t="str">
        <f>IFERROR(__xludf.DUMMYFUNCTION("""COMPUTED_VALUE"""),"CSA")</f>
        <v>CSA</v>
      </c>
      <c r="C7" s="3" t="b">
        <f>IFERROR(__xludf.DUMMYFUNCTION("""COMPUTED_VALUE"""),TRUE)</f>
        <v>1</v>
      </c>
      <c r="D7" s="3" t="str">
        <f>IFERROR(__xludf.DUMMYFUNCTION("""COMPUTED_VALUE"""),"41.89548180525697, -87.69892926222204")</f>
        <v>41.89548180525697, -87.69892926222204</v>
      </c>
      <c r="E7" s="3"/>
      <c r="F7" s="3"/>
      <c r="G7" s="3"/>
      <c r="H7" s="3"/>
      <c r="I7" s="3"/>
      <c r="J7" s="7">
        <f>IFERROR(__xludf.DUMMYFUNCTION("""COMPUTED_VALUE"""),45808.0)</f>
        <v>45808</v>
      </c>
      <c r="K7" s="7">
        <f>IFERROR(__xludf.DUMMYFUNCTION("""COMPUTED_VALUE"""),45962.0)</f>
        <v>45962</v>
      </c>
      <c r="L7" s="3" t="str">
        <f>IFERROR(__xludf.DUMMYFUNCTION("""COMPUTED_VALUE"""),"Wednesday, Saturday")</f>
        <v>Wednesday, Saturday</v>
      </c>
      <c r="M7" s="3"/>
      <c r="N7" s="3" t="str">
        <f>IFERROR(__xludf.DUMMYFUNCTION("""COMPUTED_VALUE"""),"Weekly")</f>
        <v>Weekly</v>
      </c>
      <c r="O7" s="6" t="str">
        <f>IFERROR(__xludf.DUMMYFUNCTION("""COMPUTED_VALUE"""),"http://chicagopatchworkfarms.com")</f>
        <v>http://chicagopatchworkfarms.com</v>
      </c>
      <c r="P7" s="6" t="str">
        <f>IFERROR(__xludf.DUMMYFUNCTION("""COMPUTED_VALUE"""),"http://www.instagram.com/chicagopatchworkfarms")</f>
        <v>http://www.instagram.com/chicagopatchworkfarms</v>
      </c>
      <c r="Q7" s="6" t="str">
        <f>IFERROR(__xludf.DUMMYFUNCTION("""COMPUTED_VALUE"""),"http://www.facebook.com/chicagopatchworkfarms")</f>
        <v>http://www.facebook.com/chicagopatchworkfarms</v>
      </c>
      <c r="R7" s="3" t="str">
        <f>IFERROR(__xludf.DUMMYFUNCTION("""COMPUTED_VALUE"""),"Chicago")</f>
        <v>Chicago</v>
      </c>
      <c r="S7" s="3"/>
    </row>
    <row r="8">
      <c r="A8" s="3" t="str">
        <f>IFERROR(__xludf.DUMMYFUNCTION("""COMPUTED_VALUE"""),"Danville Winter Farmers Market")</f>
        <v>Danville Winter Farmers Market</v>
      </c>
      <c r="B8" s="3" t="str">
        <f>IFERROR(__xludf.DUMMYFUNCTION("""COMPUTED_VALUE"""),"Winter Market")</f>
        <v>Winter Market</v>
      </c>
      <c r="C8" s="3" t="b">
        <f>IFERROR(__xludf.DUMMYFUNCTION("""COMPUTED_VALUE"""),TRUE)</f>
        <v>1</v>
      </c>
      <c r="D8" s="3" t="str">
        <f>IFERROR(__xludf.DUMMYFUNCTION("""COMPUTED_VALUE"""),"40.1268330552687, -87.63286851642061")</f>
        <v>40.1268330552687, -87.63286851642061</v>
      </c>
      <c r="E8" s="3" t="str">
        <f>IFERROR(__xludf.DUMMYFUNCTION("""COMPUTED_VALUE"""),"100 N Franklin St")</f>
        <v>100 N Franklin St</v>
      </c>
      <c r="F8" s="3"/>
      <c r="G8" s="3" t="str">
        <f>IFERROR(__xludf.DUMMYFUNCTION("""COMPUTED_VALUE"""),"Danville")</f>
        <v>Danville</v>
      </c>
      <c r="H8" s="3" t="str">
        <f>IFERROR(__xludf.DUMMYFUNCTION("""COMPUTED_VALUE"""),"IL")</f>
        <v>IL</v>
      </c>
      <c r="I8" s="3">
        <f>IFERROR(__xludf.DUMMYFUNCTION("""COMPUTED_VALUE"""),61814.0)</f>
        <v>61814</v>
      </c>
      <c r="J8" s="7">
        <f>IFERROR(__xludf.DUMMYFUNCTION("""COMPUTED_VALUE"""),45962.0)</f>
        <v>45962</v>
      </c>
      <c r="K8" s="7">
        <f>IFERROR(__xludf.DUMMYFUNCTION("""COMPUTED_VALUE"""),46130.0)</f>
        <v>46130</v>
      </c>
      <c r="L8" s="3" t="str">
        <f>IFERROR(__xludf.DUMMYFUNCTION("""COMPUTED_VALUE"""),"Saturday")</f>
        <v>Saturday</v>
      </c>
      <c r="M8" s="3" t="str">
        <f>IFERROR(__xludf.DUMMYFUNCTION("""COMPUTED_VALUE"""),"10:00 AM - 02:00 PM")</f>
        <v>10:00 AM - 02:00 PM</v>
      </c>
      <c r="N8" s="3" t="str">
        <f>IFERROR(__xludf.DUMMYFUNCTION("""COMPUTED_VALUE"""),"Other")</f>
        <v>Other</v>
      </c>
      <c r="O8" s="3"/>
      <c r="P8" s="3"/>
      <c r="Q8" s="6" t="str">
        <f>IFERROR(__xludf.DUMMYFUNCTION("""COMPUTED_VALUE"""),"http://www.facebook.com/DanvilleFM/")</f>
        <v>http://www.facebook.com/DanvilleFM/</v>
      </c>
      <c r="R8" s="3" t="str">
        <f>IFERROR(__xludf.DUMMYFUNCTION("""COMPUTED_VALUE"""),"Central IL")</f>
        <v>Central IL</v>
      </c>
      <c r="S8" s="3" t="str">
        <f>IFERROR(__xludf.DUMMYFUNCTION("""COMPUTED_VALUE"""),"Nov 1, 22 | Dec 6, 20 | Jan 17 | Feb 7, 21 | Mar 7, 21 | Apr 4, 18 
Market is at First Presbyterian Church - 100 N Franklin
Nov 8 | Dec 13 | Jan 10 | Feb 14 | Mar 14 | Apr 11
Market is at Sarge's Tap - 409 E Main St")</f>
        <v>Nov 1, 22 | Dec 6, 20 | Jan 17 | Feb 7, 21 | Mar 7, 21 | Apr 4, 18 
Market is at First Presbyterian Church - 100 N Franklin
Nov 8 | Dec 13 | Jan 10 | Feb 14 | Mar 14 | Apr 11
Market is at Sarge's Tap - 409 E Main St</v>
      </c>
    </row>
    <row r="9">
      <c r="A9" s="3" t="str">
        <f>IFERROR(__xludf.DUMMYFUNCTION("""COMPUTED_VALUE"""),"DE Farms")</f>
        <v>DE Farms</v>
      </c>
      <c r="B9" s="3" t="str">
        <f>IFERROR(__xludf.DUMMYFUNCTION("""COMPUTED_VALUE"""),"Farm Stand")</f>
        <v>Farm Stand</v>
      </c>
      <c r="C9" s="3" t="b">
        <f>IFERROR(__xludf.DUMMYFUNCTION("""COMPUTED_VALUE"""),TRUE)</f>
        <v>1</v>
      </c>
      <c r="D9" s="3" t="str">
        <f>IFERROR(__xludf.DUMMYFUNCTION("""COMPUTED_VALUE"""),"42.30110155255559, -88.62863947529009")</f>
        <v>42.30110155255559, -88.62863947529009</v>
      </c>
      <c r="E9" s="3" t="str">
        <f>IFERROR(__xludf.DUMMYFUNCTION("""COMPUTED_VALUE"""),"1913  Hawthorn Rd")</f>
        <v>1913  Hawthorn Rd</v>
      </c>
      <c r="F9" s="3"/>
      <c r="G9" s="3" t="str">
        <f>IFERROR(__xludf.DUMMYFUNCTION("""COMPUTED_VALUE"""),"Marengo")</f>
        <v>Marengo</v>
      </c>
      <c r="H9" s="3" t="str">
        <f>IFERROR(__xludf.DUMMYFUNCTION("""COMPUTED_VALUE"""),"IL")</f>
        <v>IL</v>
      </c>
      <c r="I9" s="3">
        <f>IFERROR(__xludf.DUMMYFUNCTION("""COMPUTED_VALUE"""),60152.0)</f>
        <v>60152</v>
      </c>
      <c r="J9" s="7">
        <f>IFERROR(__xludf.DUMMYFUNCTION("""COMPUTED_VALUE"""),45748.0)</f>
        <v>45748</v>
      </c>
      <c r="K9" s="7">
        <f>IFERROR(__xludf.DUMMYFUNCTION("""COMPUTED_VALUE"""),45991.0)</f>
        <v>45991</v>
      </c>
      <c r="L9" s="3" t="str">
        <f>IFERROR(__xludf.DUMMYFUNCTION("""COMPUTED_VALUE"""),"Sunday")</f>
        <v>Sunday</v>
      </c>
      <c r="M9" s="3" t="str">
        <f>IFERROR(__xludf.DUMMYFUNCTION("""COMPUTED_VALUE"""),"08:00 AM - 08:00 PM")</f>
        <v>08:00 AM - 08:00 PM</v>
      </c>
      <c r="N9" s="3" t="str">
        <f>IFERROR(__xludf.DUMMYFUNCTION("""COMPUTED_VALUE"""),"Weekly")</f>
        <v>Weekly</v>
      </c>
      <c r="O9" s="3"/>
      <c r="P9" s="3"/>
      <c r="Q9" s="3"/>
      <c r="R9" s="3" t="str">
        <f>IFERROR(__xludf.DUMMYFUNCTION("""COMPUTED_VALUE"""),"Northern IL")</f>
        <v>Northern IL</v>
      </c>
      <c r="S9" s="3" t="str">
        <f>IFERROR(__xludf.DUMMYFUNCTION("""COMPUTED_VALUE"""),"farm stand is open daylight hours on Sundays")</f>
        <v>farm stand is open daylight hours on Sundays</v>
      </c>
    </row>
    <row r="10">
      <c r="A10" s="3" t="str">
        <f>IFERROR(__xludf.DUMMYFUNCTION("""COMPUTED_VALUE"""),"DeMange Farm")</f>
        <v>DeMange Farm</v>
      </c>
      <c r="B10" s="3" t="str">
        <f>IFERROR(__xludf.DUMMYFUNCTION("""COMPUTED_VALUE"""),"Farm Stand")</f>
        <v>Farm Stand</v>
      </c>
      <c r="C10" s="3" t="b">
        <f>IFERROR(__xludf.DUMMYFUNCTION("""COMPUTED_VALUE"""),TRUE)</f>
        <v>1</v>
      </c>
      <c r="D10" s="3" t="str">
        <f>IFERROR(__xludf.DUMMYFUNCTION("""COMPUTED_VALUE"""),"38.581754436808225, -90.09425699244574")</f>
        <v>38.581754436808225, -90.09425699244574</v>
      </c>
      <c r="E10" s="3" t="str">
        <f>IFERROR(__xludf.DUMMYFUNCTION("""COMPUTED_VALUE"""),"5750 Pocket")</f>
        <v>5750 Pocket</v>
      </c>
      <c r="F10" s="3"/>
      <c r="G10" s="3" t="str">
        <f>IFERROR(__xludf.DUMMYFUNCTION("""COMPUTED_VALUE"""),"East St Louis")</f>
        <v>East St Louis</v>
      </c>
      <c r="H10" s="3" t="str">
        <f>IFERROR(__xludf.DUMMYFUNCTION("""COMPUTED_VALUE"""),"IL")</f>
        <v>IL</v>
      </c>
      <c r="I10" s="3">
        <f>IFERROR(__xludf.DUMMYFUNCTION("""COMPUTED_VALUE"""),62205.0)</f>
        <v>62205</v>
      </c>
      <c r="J10" s="7">
        <f>IFERROR(__xludf.DUMMYFUNCTION("""COMPUTED_VALUE"""),45748.0)</f>
        <v>45748</v>
      </c>
      <c r="K10" s="7">
        <f>IFERROR(__xludf.DUMMYFUNCTION("""COMPUTED_VALUE"""),45989.0)</f>
        <v>45989</v>
      </c>
      <c r="L10" s="3" t="str">
        <f>IFERROR(__xludf.DUMMYFUNCTION("""COMPUTED_VALUE"""),"Monday, Tuesday, Wednesday, Thursday, Friday, Saturday")</f>
        <v>Monday, Tuesday, Wednesday, Thursday, Friday, Saturday</v>
      </c>
      <c r="M10" s="3" t="str">
        <f>IFERROR(__xludf.DUMMYFUNCTION("""COMPUTED_VALUE"""),"08:00 AM - 04:00 PM 08:00 AM - 04:00 PM 08:00 AM - 04:00 PM 08:00 AM - 04:00 PM 08:00 AM - 04:00 PM 08:00 AM - 02:00 PM")</f>
        <v>08:00 AM - 04:00 PM 08:00 AM - 04:00 PM 08:00 AM - 04:00 PM 08:00 AM - 04:00 PM 08:00 AM - 04:00 PM 08:00 AM - 02:00 PM</v>
      </c>
      <c r="N10" s="3" t="str">
        <f>IFERROR(__xludf.DUMMYFUNCTION("""COMPUTED_VALUE"""),"Weekly")</f>
        <v>Weekly</v>
      </c>
      <c r="O10" s="3"/>
      <c r="P10" s="3"/>
      <c r="Q10" s="6" t="str">
        <f>IFERROR(__xludf.DUMMYFUNCTION("""COMPUTED_VALUE"""),"http://www.facebook.com/demangefarm")</f>
        <v>http://www.facebook.com/demangefarm</v>
      </c>
      <c r="R10" s="3" t="str">
        <f>IFERROR(__xludf.DUMMYFUNCTION("""COMPUTED_VALUE"""),"Southern IL")</f>
        <v>Southern IL</v>
      </c>
      <c r="S10" s="3"/>
    </row>
    <row r="11">
      <c r="A11" s="3" t="str">
        <f>IFERROR(__xludf.DUMMYFUNCTION("""COMPUTED_VALUE"""),"Downtown Bloomington Indoor Farmers' Market")</f>
        <v>Downtown Bloomington Indoor Farmers' Market</v>
      </c>
      <c r="B11" s="3" t="str">
        <f>IFERROR(__xludf.DUMMYFUNCTION("""COMPUTED_VALUE"""),"Winter Market")</f>
        <v>Winter Market</v>
      </c>
      <c r="C11" s="3" t="b">
        <f>IFERROR(__xludf.DUMMYFUNCTION("""COMPUTED_VALUE"""),TRUE)</f>
        <v>1</v>
      </c>
      <c r="D11" s="3" t="str">
        <f>IFERROR(__xludf.DUMMYFUNCTION("""COMPUTED_VALUE"""),"40.47816479002637, -88.99654674574985")</f>
        <v>40.47816479002637, -88.99654674574985</v>
      </c>
      <c r="E11" s="3" t="str">
        <f>IFERROR(__xludf.DUMMYFUNCTION("""COMPUTED_VALUE"""),"101 S Madison St")</f>
        <v>101 S Madison St</v>
      </c>
      <c r="F11" s="3"/>
      <c r="G11" s="3" t="str">
        <f>IFERROR(__xludf.DUMMYFUNCTION("""COMPUTED_VALUE"""),"Bloomington")</f>
        <v>Bloomington</v>
      </c>
      <c r="H11" s="3" t="str">
        <f>IFERROR(__xludf.DUMMYFUNCTION("""COMPUTED_VALUE"""),"IL")</f>
        <v>IL</v>
      </c>
      <c r="I11" s="3">
        <f>IFERROR(__xludf.DUMMYFUNCTION("""COMPUTED_VALUE"""),61701.0)</f>
        <v>61701</v>
      </c>
      <c r="J11" s="7">
        <f>IFERROR(__xludf.DUMMYFUNCTION("""COMPUTED_VALUE"""),45983.0)</f>
        <v>45983</v>
      </c>
      <c r="K11" s="7">
        <f>IFERROR(__xludf.DUMMYFUNCTION("""COMPUTED_VALUE"""),46130.0)</f>
        <v>46130</v>
      </c>
      <c r="L11" s="3" t="str">
        <f>IFERROR(__xludf.DUMMYFUNCTION("""COMPUTED_VALUE"""),"Saturday")</f>
        <v>Saturday</v>
      </c>
      <c r="M11" s="3" t="str">
        <f>IFERROR(__xludf.DUMMYFUNCTION("""COMPUTED_VALUE"""),"09:00 AM - 12:00 PM")</f>
        <v>09:00 AM - 12:00 PM</v>
      </c>
      <c r="N11" s="3" t="str">
        <f>IFERROR(__xludf.DUMMYFUNCTION("""COMPUTED_VALUE"""),"Monthly")</f>
        <v>Monthly</v>
      </c>
      <c r="O11" s="6" t="str">
        <f>IFERROR(__xludf.DUMMYFUNCTION("""COMPUTED_VALUE"""),"http://www.downtownbloomington.org/farmers-market")</f>
        <v>http://www.downtownbloomington.org/farmers-market</v>
      </c>
      <c r="P11" s="6" t="str">
        <f>IFERROR(__xludf.DUMMYFUNCTION("""COMPUTED_VALUE"""),"http://www.instagram.com/bloomingtonmarket/")</f>
        <v>http://www.instagram.com/bloomingtonmarket/</v>
      </c>
      <c r="Q11" s="6" t="str">
        <f>IFERROR(__xludf.DUMMYFUNCTION("""COMPUTED_VALUE"""),"http://www.facebook.com/BLMFarmersMarket")</f>
        <v>http://www.facebook.com/BLMFarmersMarket</v>
      </c>
      <c r="R11" s="3" t="str">
        <f>IFERROR(__xludf.DUMMYFUNCTION("""COMPUTED_VALUE"""),"Central IL")</f>
        <v>Central IL</v>
      </c>
      <c r="S11" s="3" t="str">
        <f>IFERROR(__xludf.DUMMYFUNCTION("""COMPUTED_VALUE"""),"Nov 22 | Dec 20 | Jan 17 | Feb 21 | Mar 21 | Apr 18")</f>
        <v>Nov 22 | Dec 20 | Jan 17 | Feb 21 | Mar 21 | Apr 18</v>
      </c>
    </row>
    <row r="12">
      <c r="A12" s="3" t="str">
        <f>IFERROR(__xludf.DUMMYFUNCTION("""COMPUTED_VALUE"""),"Evanston Indoor Market")</f>
        <v>Evanston Indoor Market</v>
      </c>
      <c r="B12" s="3" t="str">
        <f>IFERROR(__xludf.DUMMYFUNCTION("""COMPUTED_VALUE"""),"Winter Market")</f>
        <v>Winter Market</v>
      </c>
      <c r="C12" s="3" t="b">
        <f>IFERROR(__xludf.DUMMYFUNCTION("""COMPUTED_VALUE"""),TRUE)</f>
        <v>1</v>
      </c>
      <c r="D12" s="3" t="str">
        <f>IFERROR(__xludf.DUMMYFUNCTION("""COMPUTED_VALUE"""),"42.056776924661044, -87.7008558176345")</f>
        <v>42.056776924661044, -87.7008558176345</v>
      </c>
      <c r="E12" s="3" t="str">
        <f>IFERROR(__xludf.DUMMYFUNCTION("""COMPUTED_VALUE"""),"2024 McCormick Blvd")</f>
        <v>2024 McCormick Blvd</v>
      </c>
      <c r="F12" s="3"/>
      <c r="G12" s="3" t="str">
        <f>IFERROR(__xludf.DUMMYFUNCTION("""COMPUTED_VALUE"""),"Evanston")</f>
        <v>Evanston</v>
      </c>
      <c r="H12" s="3" t="str">
        <f>IFERROR(__xludf.DUMMYFUNCTION("""COMPUTED_VALUE"""),"IL")</f>
        <v>IL</v>
      </c>
      <c r="I12" s="3">
        <f>IFERROR(__xludf.DUMMYFUNCTION("""COMPUTED_VALUE"""),60201.0)</f>
        <v>60201</v>
      </c>
      <c r="J12" s="7">
        <f>IFERROR(__xludf.DUMMYFUNCTION("""COMPUTED_VALUE"""),45969.0)</f>
        <v>45969</v>
      </c>
      <c r="K12" s="7">
        <f>IFERROR(__xludf.DUMMYFUNCTION("""COMPUTED_VALUE"""),46137.0)</f>
        <v>46137</v>
      </c>
      <c r="L12" s="3" t="str">
        <f>IFERROR(__xludf.DUMMYFUNCTION("""COMPUTED_VALUE"""),"Saturday")</f>
        <v>Saturday</v>
      </c>
      <c r="M12" s="3" t="str">
        <f>IFERROR(__xludf.DUMMYFUNCTION("""COMPUTED_VALUE"""),"08:00 AM - 12:00 PM")</f>
        <v>08:00 AM - 12:00 PM</v>
      </c>
      <c r="N12" s="3" t="str">
        <f>IFERROR(__xludf.DUMMYFUNCTION("""COMPUTED_VALUE"""),"Other")</f>
        <v>Other</v>
      </c>
      <c r="O12" s="6" t="str">
        <f>IFERROR(__xludf.DUMMYFUNCTION("""COMPUTED_VALUE"""),"https://www.cityofevanston.org/government/departments/parks-recreation-community-services/programs-events/farmers-market-indoor")</f>
        <v>https://www.cityofevanston.org/government/departments/parks-recreation-community-services/programs-events/farmers-market-indoor</v>
      </c>
      <c r="P12" s="6" t="str">
        <f>IFERROR(__xludf.DUMMYFUNCTION("""COMPUTED_VALUE"""),"http://www.instagram.com/evanston_farmers_market/")</f>
        <v>http://www.instagram.com/evanston_farmers_market/</v>
      </c>
      <c r="Q12" s="3"/>
      <c r="R12" s="3" t="str">
        <f>IFERROR(__xludf.DUMMYFUNCTION("""COMPUTED_VALUE"""),"Chicago Suburbs")</f>
        <v>Chicago Suburbs</v>
      </c>
      <c r="S12" s="3" t="str">
        <f>IFERROR(__xludf.DUMMYFUNCTION("""COMPUTED_VALUE"""),"Nov 8, 15, 29 | Dec 13, 27 | Jan 10, 24 | Feb 7, 21 | Mar 7, 21 | Apr 4, 11, 18, 25")</f>
        <v>Nov 8, 15, 29 | Dec 13, 27 | Jan 10, 24 | Feb 7, 21 | Mar 7, 21 | Apr 4, 11, 18, 25</v>
      </c>
    </row>
    <row r="13">
      <c r="A13" s="3" t="str">
        <f>IFERROR(__xludf.DUMMYFUNCTION("""COMPUTED_VALUE"""),"Farm on Ogden")</f>
        <v>Farm on Ogden</v>
      </c>
      <c r="B13" s="3" t="str">
        <f>IFERROR(__xludf.DUMMYFUNCTION("""COMPUTED_VALUE"""),"Retail Space")</f>
        <v>Retail Space</v>
      </c>
      <c r="C13" s="3" t="b">
        <f>IFERROR(__xludf.DUMMYFUNCTION("""COMPUTED_VALUE"""),TRUE)</f>
        <v>1</v>
      </c>
      <c r="D13" s="3" t="str">
        <f>IFERROR(__xludf.DUMMYFUNCTION("""COMPUTED_VALUE"""),"41.8543796320394, -87.71439234568817")</f>
        <v>41.8543796320394, -87.71439234568817</v>
      </c>
      <c r="E13" s="3" t="str">
        <f>IFERROR(__xludf.DUMMYFUNCTION("""COMPUTED_VALUE"""),"3555 W Ogden Ave")</f>
        <v>3555 W Ogden Ave</v>
      </c>
      <c r="F13" s="3"/>
      <c r="G13" s="3" t="str">
        <f>IFERROR(__xludf.DUMMYFUNCTION("""COMPUTED_VALUE"""),"Chicago")</f>
        <v>Chicago</v>
      </c>
      <c r="H13" s="3" t="str">
        <f>IFERROR(__xludf.DUMMYFUNCTION("""COMPUTED_VALUE"""),"IL")</f>
        <v>IL</v>
      </c>
      <c r="I13" s="3">
        <f>IFERROR(__xludf.DUMMYFUNCTION("""COMPUTED_VALUE"""),60623.0)</f>
        <v>60623</v>
      </c>
      <c r="J13" s="7">
        <f>IFERROR(__xludf.DUMMYFUNCTION("""COMPUTED_VALUE"""),45658.0)</f>
        <v>45658</v>
      </c>
      <c r="K13" s="7">
        <f>IFERROR(__xludf.DUMMYFUNCTION("""COMPUTED_VALUE"""),46022.0)</f>
        <v>46022</v>
      </c>
      <c r="L13" s="3" t="str">
        <f>IFERROR(__xludf.DUMMYFUNCTION("""COMPUTED_VALUE"""),"Tuesday, Wednesday, Thursday, Friday, Saturday")</f>
        <v>Tuesday, Wednesday, Thursday, Friday, Saturday</v>
      </c>
      <c r="M13" s="3" t="str">
        <f>IFERROR(__xludf.DUMMYFUNCTION("""COMPUTED_VALUE"""),"11:00 AM - 06:00 PM 11:00 AM - 06:00 PM 11:00 AM - 06:00 PM 11:00 AM - 06:00 PM 09:00 AM - 03:00 PM")</f>
        <v>11:00 AM - 06:00 PM 11:00 AM - 06:00 PM 11:00 AM - 06:00 PM 11:00 AM - 06:00 PM 09:00 AM - 03:00 PM</v>
      </c>
      <c r="N13" s="3" t="str">
        <f>IFERROR(__xludf.DUMMYFUNCTION("""COMPUTED_VALUE"""),"Weekly")</f>
        <v>Weekly</v>
      </c>
      <c r="O13" s="6" t="str">
        <f>IFERROR(__xludf.DUMMYFUNCTION("""COMPUTED_VALUE"""),"http://www.chicagobotanic.org/urbanagriculture/farm_on_ogden")</f>
        <v>http://www.chicagobotanic.org/urbanagriculture/farm_on_ogden</v>
      </c>
      <c r="P13" s="6" t="str">
        <f>IFERROR(__xludf.DUMMYFUNCTION("""COMPUTED_VALUE"""),"http://www.instagram.com/windycityharvest/")</f>
        <v>http://www.instagram.com/windycityharvest/</v>
      </c>
      <c r="Q13" s="6" t="str">
        <f>IFERROR(__xludf.DUMMYFUNCTION("""COMPUTED_VALUE"""),"http://www.facebook.com/windycityharvest/")</f>
        <v>http://www.facebook.com/windycityharvest/</v>
      </c>
      <c r="R13" s="3" t="str">
        <f>IFERROR(__xludf.DUMMYFUNCTION("""COMPUTED_VALUE"""),"Chicago")</f>
        <v>Chicago</v>
      </c>
      <c r="S13" s="3"/>
    </row>
    <row r="14">
      <c r="A14" s="3" t="str">
        <f>IFERROR(__xludf.DUMMYFUNCTION("""COMPUTED_VALUE"""),"Farmer’s Market of Carbondale")</f>
        <v>Farmer’s Market of Carbondale</v>
      </c>
      <c r="B14" s="3" t="str">
        <f>IFERROR(__xludf.DUMMYFUNCTION("""COMPUTED_VALUE"""),"Farmers Market")</f>
        <v>Farmers Market</v>
      </c>
      <c r="C14" s="3" t="b">
        <f>IFERROR(__xludf.DUMMYFUNCTION("""COMPUTED_VALUE"""),TRUE)</f>
        <v>1</v>
      </c>
      <c r="D14" s="3" t="str">
        <f>IFERROR(__xludf.DUMMYFUNCTION("""COMPUTED_VALUE"""),"37.729517540540556, -89.24344204515462")</f>
        <v>37.729517540540556, -89.24344204515462</v>
      </c>
      <c r="E14" s="3" t="str">
        <f>IFERROR(__xludf.DUMMYFUNCTION("""COMPUTED_VALUE"""),"2101 W Main St")</f>
        <v>2101 W Main St</v>
      </c>
      <c r="F14" s="3"/>
      <c r="G14" s="3" t="str">
        <f>IFERROR(__xludf.DUMMYFUNCTION("""COMPUTED_VALUE"""),"Carbondale")</f>
        <v>Carbondale</v>
      </c>
      <c r="H14" s="3" t="str">
        <f>IFERROR(__xludf.DUMMYFUNCTION("""COMPUTED_VALUE"""),"IL")</f>
        <v>IL</v>
      </c>
      <c r="I14" s="3">
        <f>IFERROR(__xludf.DUMMYFUNCTION("""COMPUTED_VALUE"""),62901.0)</f>
        <v>62901</v>
      </c>
      <c r="J14" s="7">
        <f>IFERROR(__xludf.DUMMYFUNCTION("""COMPUTED_VALUE"""),45745.0)</f>
        <v>45745</v>
      </c>
      <c r="K14" s="7">
        <f>IFERROR(__xludf.DUMMYFUNCTION("""COMPUTED_VALUE"""),45997.0)</f>
        <v>45997</v>
      </c>
      <c r="L14" s="3" t="str">
        <f>IFERROR(__xludf.DUMMYFUNCTION("""COMPUTED_VALUE"""),"Saturday")</f>
        <v>Saturday</v>
      </c>
      <c r="M14" s="3" t="str">
        <f>IFERROR(__xludf.DUMMYFUNCTION("""COMPUTED_VALUE"""),"08:00 AM - 12:00 PM")</f>
        <v>08:00 AM - 12:00 PM</v>
      </c>
      <c r="N14" s="3" t="str">
        <f>IFERROR(__xludf.DUMMYFUNCTION("""COMPUTED_VALUE"""),"Weekly")</f>
        <v>Weekly</v>
      </c>
      <c r="O14" s="6" t="str">
        <f>IFERROR(__xludf.DUMMYFUNCTION("""COMPUTED_VALUE"""),"http://www.farmersmarketcarbondale.com/")</f>
        <v>http://www.farmersmarketcarbondale.com/</v>
      </c>
      <c r="P14" s="3"/>
      <c r="Q14" s="6" t="str">
        <f>IFERROR(__xludf.DUMMYFUNCTION("""COMPUTED_VALUE"""),"http://www.facebook.com/farmersmarketcarbondale/")</f>
        <v>http://www.facebook.com/farmersmarketcarbondale/</v>
      </c>
      <c r="R14" s="3" t="str">
        <f>IFERROR(__xludf.DUMMYFUNCTION("""COMPUTED_VALUE"""),"Southern IL")</f>
        <v>Southern IL</v>
      </c>
      <c r="S14" s="3"/>
    </row>
    <row r="15">
      <c r="A15" s="3" t="str">
        <f>IFERROR(__xludf.DUMMYFUNCTION("""COMPUTED_VALUE"""),"Finding Justice Farm Stand")</f>
        <v>Finding Justice Farm Stand</v>
      </c>
      <c r="B15" s="3" t="str">
        <f>IFERROR(__xludf.DUMMYFUNCTION("""COMPUTED_VALUE"""),"Farm Stand")</f>
        <v>Farm Stand</v>
      </c>
      <c r="C15" s="3" t="b">
        <f>IFERROR(__xludf.DUMMYFUNCTION("""COMPUTED_VALUE"""),TRUE)</f>
        <v>1</v>
      </c>
      <c r="D15" s="3" t="str">
        <f>IFERROR(__xludf.DUMMYFUNCTION("""COMPUTED_VALUE"""),"41.88427944841874, -87.73657102935209")</f>
        <v>41.88427944841874, -87.73657102935209</v>
      </c>
      <c r="E15" s="3" t="str">
        <f>IFERROR(__xludf.DUMMYFUNCTION("""COMPUTED_VALUE"""),"217 N Kenneth Ave")</f>
        <v>217 N Kenneth Ave</v>
      </c>
      <c r="F15" s="3"/>
      <c r="G15" s="3" t="str">
        <f>IFERROR(__xludf.DUMMYFUNCTION("""COMPUTED_VALUE"""),"Chicago")</f>
        <v>Chicago</v>
      </c>
      <c r="H15" s="3" t="str">
        <f>IFERROR(__xludf.DUMMYFUNCTION("""COMPUTED_VALUE"""),"IL")</f>
        <v>IL</v>
      </c>
      <c r="I15" s="3">
        <f>IFERROR(__xludf.DUMMYFUNCTION("""COMPUTED_VALUE"""),60624.0)</f>
        <v>60624</v>
      </c>
      <c r="J15" s="7">
        <f>IFERROR(__xludf.DUMMYFUNCTION("""COMPUTED_VALUE"""),45831.0)</f>
        <v>45831</v>
      </c>
      <c r="K15" s="7">
        <f>IFERROR(__xludf.DUMMYFUNCTION("""COMPUTED_VALUE"""),45989.0)</f>
        <v>45989</v>
      </c>
      <c r="L15" s="3" t="str">
        <f>IFERROR(__xludf.DUMMYFUNCTION("""COMPUTED_VALUE"""),"Monday, Tuesday, Wednesday, Thursday, Friday, Saturday, Sunday")</f>
        <v>Monday, Tuesday, Wednesday, Thursday, Friday, Saturday, Sunday</v>
      </c>
      <c r="M15" s="3" t="str">
        <f>IFERROR(__xludf.DUMMYFUNCTION("""COMPUTED_VALUE"""),"09:00 AM - 08:00 PM 09:00 AM - 08:00 PM 09:00 AM - 08:00 PM 09:00 AM - 08:00 PM 09:00 AM - 08:00 PM 07:00 AM - 08:00 PM 09:00 AM - 08:00 PM")</f>
        <v>09:00 AM - 08:00 PM 09:00 AM - 08:00 PM 09:00 AM - 08:00 PM 09:00 AM - 08:00 PM 09:00 AM - 08:00 PM 07:00 AM - 08:00 PM 09:00 AM - 08:00 PM</v>
      </c>
      <c r="N15" s="3" t="str">
        <f>IFERROR(__xludf.DUMMYFUNCTION("""COMPUTED_VALUE"""),"Weekly")</f>
        <v>Weekly</v>
      </c>
      <c r="O15" s="6" t="str">
        <f>IFERROR(__xludf.DUMMYFUNCTION("""COMPUTED_VALUE"""),"http://www.findingjusticegarden.com")</f>
        <v>http://www.findingjusticegarden.com</v>
      </c>
      <c r="P15" s="6" t="str">
        <f>IFERROR(__xludf.DUMMYFUNCTION("""COMPUTED_VALUE"""),"http://www.instagram.com/findingjusticegarden")</f>
        <v>http://www.instagram.com/findingjusticegarden</v>
      </c>
      <c r="Q15" s="6" t="str">
        <f>IFERROR(__xludf.DUMMYFUNCTION("""COMPUTED_VALUE"""),"http://www.facebook.com/findingjusticegarden")</f>
        <v>http://www.facebook.com/findingjusticegarden</v>
      </c>
      <c r="R15" s="3" t="str">
        <f>IFERROR(__xludf.DUMMYFUNCTION("""COMPUTED_VALUE"""),"Chicago")</f>
        <v>Chicago</v>
      </c>
      <c r="S15" s="3" t="str">
        <f>IFERROR(__xludf.DUMMYFUNCTION("""COMPUTED_VALUE"""),"Farm Stand is open Monday -  Sunday during daylight hours. Saturday and Sunday the stand closes by 7.")</f>
        <v>Farm Stand is open Monday -  Sunday during daylight hours. Saturday and Sunday the stand closes by 7.</v>
      </c>
    </row>
    <row r="16">
      <c r="A16" s="3" t="str">
        <f>IFERROR(__xludf.DUMMYFUNCTION("""COMPUTED_VALUE"""),"Finding Justice Market Booth")</f>
        <v>Finding Justice Market Booth</v>
      </c>
      <c r="B16" s="3" t="str">
        <f>IFERROR(__xludf.DUMMYFUNCTION("""COMPUTED_VALUE"""),"Farmers Market")</f>
        <v>Farmers Market</v>
      </c>
      <c r="C16" s="3" t="b">
        <f>IFERROR(__xludf.DUMMYFUNCTION("""COMPUTED_VALUE"""),TRUE)</f>
        <v>1</v>
      </c>
      <c r="D16" s="3" t="str">
        <f>IFERROR(__xludf.DUMMYFUNCTION("""COMPUTED_VALUE"""),"41.918635603613644, -87.64582585846988")</f>
        <v>41.918635603613644, -87.64582585846988</v>
      </c>
      <c r="E16" s="3" t="str">
        <f>IFERROR(__xludf.DUMMYFUNCTION("""COMPUTED_VALUE"""),"2001 N Orchard St")</f>
        <v>2001 N Orchard St</v>
      </c>
      <c r="F16" s="3"/>
      <c r="G16" s="3" t="str">
        <f>IFERROR(__xludf.DUMMYFUNCTION("""COMPUTED_VALUE"""),"Chicago")</f>
        <v>Chicago</v>
      </c>
      <c r="H16" s="3" t="str">
        <f>IFERROR(__xludf.DUMMYFUNCTION("""COMPUTED_VALUE"""),"IL")</f>
        <v>IL</v>
      </c>
      <c r="I16" s="3">
        <f>IFERROR(__xludf.DUMMYFUNCTION("""COMPUTED_VALUE"""),60614.0)</f>
        <v>60614</v>
      </c>
      <c r="J16" s="7">
        <f>IFERROR(__xludf.DUMMYFUNCTION("""COMPUTED_VALUE"""),45892.0)</f>
        <v>45892</v>
      </c>
      <c r="K16" s="7">
        <f>IFERROR(__xludf.DUMMYFUNCTION("""COMPUTED_VALUE"""),45983.0)</f>
        <v>45983</v>
      </c>
      <c r="L16" s="3" t="str">
        <f>IFERROR(__xludf.DUMMYFUNCTION("""COMPUTED_VALUE"""),"Saturday")</f>
        <v>Saturday</v>
      </c>
      <c r="M16" s="3" t="str">
        <f>IFERROR(__xludf.DUMMYFUNCTION("""COMPUTED_VALUE"""),"07:00 AM - 01:00 PM")</f>
        <v>07:00 AM - 01:00 PM</v>
      </c>
      <c r="N16" s="3" t="str">
        <f>IFERROR(__xludf.DUMMYFUNCTION("""COMPUTED_VALUE"""),"Weekly")</f>
        <v>Weekly</v>
      </c>
      <c r="O16" s="6" t="str">
        <f>IFERROR(__xludf.DUMMYFUNCTION("""COMPUTED_VALUE"""),"http://www.findingjusticegarden.com")</f>
        <v>http://www.findingjusticegarden.com</v>
      </c>
      <c r="P16" s="6" t="str">
        <f>IFERROR(__xludf.DUMMYFUNCTION("""COMPUTED_VALUE"""),"http://www.instagram.com/findingjusticegarden")</f>
        <v>http://www.instagram.com/findingjusticegarden</v>
      </c>
      <c r="Q16" s="6" t="str">
        <f>IFERROR(__xludf.DUMMYFUNCTION("""COMPUTED_VALUE"""),"http://www.facebook.com/findingjusticegarden")</f>
        <v>http://www.facebook.com/findingjusticegarden</v>
      </c>
      <c r="R16" s="3" t="str">
        <f>IFERROR(__xludf.DUMMYFUNCTION("""COMPUTED_VALUE"""),"Chicago")</f>
        <v>Chicago</v>
      </c>
      <c r="S16" s="3" t="str">
        <f>IFERROR(__xludf.DUMMYFUNCTION("""COMPUTED_VALUE"""),"Find Justice: A Flower and Vegetable Garden runs a booth at the Lincoln Park Farmers Market that runs SNAP and Link Match transactions")</f>
        <v>Find Justice: A Flower and Vegetable Garden runs a booth at the Lincoln Park Farmers Market that runs SNAP and Link Match transactions</v>
      </c>
    </row>
    <row r="17">
      <c r="A17" s="3" t="str">
        <f>IFERROR(__xludf.DUMMYFUNCTION("""COMPUTED_VALUE"""),"Finding Justice Online Market")</f>
        <v>Finding Justice Online Market</v>
      </c>
      <c r="B17" s="3" t="str">
        <f>IFERROR(__xludf.DUMMYFUNCTION("""COMPUTED_VALUE"""),"Grocery Delivery Service")</f>
        <v>Grocery Delivery Service</v>
      </c>
      <c r="C17" s="3" t="b">
        <f>IFERROR(__xludf.DUMMYFUNCTION("""COMPUTED_VALUE"""),TRUE)</f>
        <v>1</v>
      </c>
      <c r="D17" s="3" t="str">
        <f>IFERROR(__xludf.DUMMYFUNCTION("""COMPUTED_VALUE"""),"41.88427944841874, -87.73657102935209")</f>
        <v>41.88427944841874, -87.73657102935209</v>
      </c>
      <c r="E17" s="3"/>
      <c r="F17" s="3"/>
      <c r="G17" s="3"/>
      <c r="H17" s="3"/>
      <c r="I17" s="3"/>
      <c r="J17" s="7">
        <f>IFERROR(__xludf.DUMMYFUNCTION("""COMPUTED_VALUE"""),45758.0)</f>
        <v>45758</v>
      </c>
      <c r="K17" s="7">
        <f>IFERROR(__xludf.DUMMYFUNCTION("""COMPUTED_VALUE"""),45991.0)</f>
        <v>45991</v>
      </c>
      <c r="L17" s="3"/>
      <c r="M17" s="3"/>
      <c r="N17" s="3" t="str">
        <f>IFERROR(__xludf.DUMMYFUNCTION("""COMPUTED_VALUE"""),"Weekly")</f>
        <v>Weekly</v>
      </c>
      <c r="O17" s="6" t="str">
        <f>IFERROR(__xludf.DUMMYFUNCTION("""COMPUTED_VALUE"""),"http://www.findingjusticegarden.com")</f>
        <v>http://www.findingjusticegarden.com</v>
      </c>
      <c r="P17" s="6" t="str">
        <f>IFERROR(__xludf.DUMMYFUNCTION("""COMPUTED_VALUE"""),"http://www.instagram.com/findingjusticegarden")</f>
        <v>http://www.instagram.com/findingjusticegarden</v>
      </c>
      <c r="Q17" s="6" t="str">
        <f>IFERROR(__xludf.DUMMYFUNCTION("""COMPUTED_VALUE"""),"http://www.facebook.com/findingjusticegarden")</f>
        <v>http://www.facebook.com/findingjusticegarden</v>
      </c>
      <c r="R17" s="3" t="str">
        <f>IFERROR(__xludf.DUMMYFUNCTION("""COMPUTED_VALUE"""),"Chicago")</f>
        <v>Chicago</v>
      </c>
      <c r="S17" s="3" t="str">
        <f>IFERROR(__xludf.DUMMYFUNCTION("""COMPUTED_VALUE"""),"SNAP users can order online (https://findingjusticegarden.com) and get ordered delivered or pick up at 217 N Kenneth St during Farm Stand hours")</f>
        <v>SNAP users can order online (https://findingjusticegarden.com) and get ordered delivered or pick up at 217 N Kenneth St during Farm Stand hours</v>
      </c>
    </row>
    <row r="18">
      <c r="A18" s="3" t="str">
        <f>IFERROR(__xludf.DUMMYFUNCTION("""COMPUTED_VALUE"""),"Forty Acres Fresh Market")</f>
        <v>Forty Acres Fresh Market</v>
      </c>
      <c r="B18" s="3" t="str">
        <f>IFERROR(__xludf.DUMMYFUNCTION("""COMPUTED_VALUE"""),"Grocery Delivery Service")</f>
        <v>Grocery Delivery Service</v>
      </c>
      <c r="C18" s="3" t="b">
        <f>IFERROR(__xludf.DUMMYFUNCTION("""COMPUTED_VALUE"""),TRUE)</f>
        <v>1</v>
      </c>
      <c r="D18" s="3" t="str">
        <f>IFERROR(__xludf.DUMMYFUNCTION("""COMPUTED_VALUE"""),"41.844749210903565, -87.68313961460017")</f>
        <v>41.844749210903565, -87.68313961460017</v>
      </c>
      <c r="E18" s="3"/>
      <c r="F18" s="3"/>
      <c r="G18" s="3"/>
      <c r="H18" s="3"/>
      <c r="I18" s="3"/>
      <c r="J18" s="7">
        <f>IFERROR(__xludf.DUMMYFUNCTION("""COMPUTED_VALUE"""),45658.0)</f>
        <v>45658</v>
      </c>
      <c r="K18" s="7">
        <f>IFERROR(__xludf.DUMMYFUNCTION("""COMPUTED_VALUE"""),46022.0)</f>
        <v>46022</v>
      </c>
      <c r="L18" s="3" t="str">
        <f>IFERROR(__xludf.DUMMYFUNCTION("""COMPUTED_VALUE"""),"Monday, Wednesday, Friday, Sunday")</f>
        <v>Monday, Wednesday, Friday, Sunday</v>
      </c>
      <c r="M18" s="3"/>
      <c r="N18" s="3" t="str">
        <f>IFERROR(__xludf.DUMMYFUNCTION("""COMPUTED_VALUE"""),"Weekly")</f>
        <v>Weekly</v>
      </c>
      <c r="O18" s="6" t="str">
        <f>IFERROR(__xludf.DUMMYFUNCTION("""COMPUTED_VALUE"""),"http://fortyacresfreshmarket.com/delivery")</f>
        <v>http://fortyacresfreshmarket.com/delivery</v>
      </c>
      <c r="P18" s="6" t="str">
        <f>IFERROR(__xludf.DUMMYFUNCTION("""COMPUTED_VALUE"""),"http://www.instagram.com/fortyacresfreshmarket")</f>
        <v>http://www.instagram.com/fortyacresfreshmarket</v>
      </c>
      <c r="Q18" s="6" t="str">
        <f>IFERROR(__xludf.DUMMYFUNCTION("""COMPUTED_VALUE"""),"http://www.facebook.com/people/Forty-Acres-Fresh-Market/100084716291348/")</f>
        <v>http://www.facebook.com/people/Forty-Acres-Fresh-Market/100084716291348/</v>
      </c>
      <c r="R18" s="3" t="str">
        <f>IFERROR(__xludf.DUMMYFUNCTION("""COMPUTED_VALUE"""),"Chicago")</f>
        <v>Chicago</v>
      </c>
      <c r="S18" s="3" t="str">
        <f>IFERROR(__xludf.DUMMYFUNCTION("""COMPUTED_VALUE"""),"Forty Acres Fresh Market runs a residential produce box delivery service. Open year round - check website for details
Ordering: Orders are placed online for weekly, biweekly, or monthly subscriptions or one time deliveries. Minimum order for delivery is "&amp;"$10. SNAP payment is made at the time of delivery. 
Delivery: Sunday, Monday, Wednesday, and Fridays (barring any service changes due to holidays or inclement weather) throughout the city and select I-290 western suburbs based on zip code. ")</f>
        <v>Forty Acres Fresh Market runs a residential produce box delivery service. Open year round - check website for details
Ordering: Orders are placed online for weekly, biweekly, or monthly subscriptions or one time deliveries. Minimum order for delivery is $10. SNAP payment is made at the time of delivery. 
Delivery: Sunday, Monday, Wednesday, and Fridays (barring any service changes due to holidays or inclement weather) throughout the city and select I-290 western suburbs based on zip code. </v>
      </c>
    </row>
    <row r="19">
      <c r="A19" s="3" t="str">
        <f>IFERROR(__xludf.DUMMYFUNCTION("""COMPUTED_VALUE"""),"Fresh Moves Mobile Market")</f>
        <v>Fresh Moves Mobile Market</v>
      </c>
      <c r="B19" s="3" t="str">
        <f>IFERROR(__xludf.DUMMYFUNCTION("""COMPUTED_VALUE"""),"Mobile Market")</f>
        <v>Mobile Market</v>
      </c>
      <c r="C19" s="3" t="b">
        <f>IFERROR(__xludf.DUMMYFUNCTION("""COMPUTED_VALUE"""),TRUE)</f>
        <v>1</v>
      </c>
      <c r="D19" s="3" t="str">
        <f>IFERROR(__xludf.DUMMYFUNCTION("""COMPUTED_VALUE"""),"41.837845461813814, -87.65764861231756")</f>
        <v>41.837845461813814, -87.65764861231756</v>
      </c>
      <c r="E19" s="3"/>
      <c r="F19" s="3"/>
      <c r="G19" s="3"/>
      <c r="H19" s="3"/>
      <c r="I19" s="3"/>
      <c r="J19" s="7">
        <f>IFERROR(__xludf.DUMMYFUNCTION("""COMPUTED_VALUE"""),45782.0)</f>
        <v>45782</v>
      </c>
      <c r="K19" s="7">
        <f>IFERROR(__xludf.DUMMYFUNCTION("""COMPUTED_VALUE"""),46000.0)</f>
        <v>46000</v>
      </c>
      <c r="L19" s="3" t="str">
        <f>IFERROR(__xludf.DUMMYFUNCTION("""COMPUTED_VALUE"""),"Monday, Tuesday, Wednesday, Thursday, Friday")</f>
        <v>Monday, Tuesday, Wednesday, Thursday, Friday</v>
      </c>
      <c r="M19" s="3"/>
      <c r="N19" s="3" t="str">
        <f>IFERROR(__xludf.DUMMYFUNCTION("""COMPUTED_VALUE"""),"Weekly")</f>
        <v>Weekly</v>
      </c>
      <c r="O19" s="6" t="str">
        <f>IFERROR(__xludf.DUMMYFUNCTION("""COMPUTED_VALUE"""),"http://www.urbangrowerscollective.org/")</f>
        <v>http://www.urbangrowerscollective.org/</v>
      </c>
      <c r="P19" s="6" t="str">
        <f>IFERROR(__xludf.DUMMYFUNCTION("""COMPUTED_VALUE"""),"http://www.instagram.com/urbangrowerscollective/")</f>
        <v>http://www.instagram.com/urbangrowerscollective/</v>
      </c>
      <c r="Q19" s="6" t="str">
        <f>IFERROR(__xludf.DUMMYFUNCTION("""COMPUTED_VALUE"""),"http://www.facebook.com/urbangrowerscollective/")</f>
        <v>http://www.facebook.com/urbangrowerscollective/</v>
      </c>
      <c r="R19" s="3" t="str">
        <f>IFERROR(__xludf.DUMMYFUNCTION("""COMPUTED_VALUE"""),"Chicago")</f>
        <v>Chicago</v>
      </c>
      <c r="S19" s="3" t="str">
        <f>IFERROR(__xludf.DUMMYFUNCTION("""COMPUTED_VALUE"""),"Mobile Farmers Market is stocked with UGC farm produce, partners’ produce and value added goods, and supplemented with wholesale produce. FMMM stops at partner site locations throughout the week and for community health interventions to improve overall co"&amp;"mmunity health through food access, recipes and nutrition, and awareness of food systems
For more information about where the market will be, see our schedule at 
https://www.urbangrowerscollective.org/fresh-moves-mobile-market#schedule ")</f>
        <v>Mobile Farmers Market is stocked with UGC farm produce, partners’ produce and value added goods, and supplemented with wholesale produce. FMMM stops at partner site locations throughout the week and for community health interventions to improve overall community health through food access, recipes and nutrition, and awareness of food systems
For more information about where the market will be, see our schedule at 
https://www.urbangrowerscollective.org/fresh-moves-mobile-market#schedule </v>
      </c>
    </row>
    <row r="20">
      <c r="A20" s="3" t="str">
        <f>IFERROR(__xludf.DUMMYFUNCTION("""COMPUTED_VALUE"""),"Green City Market - Lincoln Park")</f>
        <v>Green City Market - Lincoln Park</v>
      </c>
      <c r="B20" s="3" t="str">
        <f>IFERROR(__xludf.DUMMYFUNCTION("""COMPUTED_VALUE"""),"Farmers Market")</f>
        <v>Farmers Market</v>
      </c>
      <c r="C20" s="3" t="b">
        <f>IFERROR(__xludf.DUMMYFUNCTION("""COMPUTED_VALUE"""),TRUE)</f>
        <v>1</v>
      </c>
      <c r="D20" s="3" t="str">
        <f>IFERROR(__xludf.DUMMYFUNCTION("""COMPUTED_VALUE"""),"41.91601672524698, -87.63417174497974")</f>
        <v>41.91601672524698, -87.63417174497974</v>
      </c>
      <c r="E20" s="3" t="str">
        <f>IFERROR(__xludf.DUMMYFUNCTION("""COMPUTED_VALUE"""),"1817 N Clark St")</f>
        <v>1817 N Clark St</v>
      </c>
      <c r="F20" s="3"/>
      <c r="G20" s="3" t="str">
        <f>IFERROR(__xludf.DUMMYFUNCTION("""COMPUTED_VALUE"""),"Chicago")</f>
        <v>Chicago</v>
      </c>
      <c r="H20" s="3" t="str">
        <f>IFERROR(__xludf.DUMMYFUNCTION("""COMPUTED_VALUE"""),"IL")</f>
        <v>IL</v>
      </c>
      <c r="I20" s="3">
        <f>IFERROR(__xludf.DUMMYFUNCTION("""COMPUTED_VALUE"""),60614.0)</f>
        <v>60614</v>
      </c>
      <c r="J20" s="7">
        <f>IFERROR(__xludf.DUMMYFUNCTION("""COMPUTED_VALUE"""),45752.0)</f>
        <v>45752</v>
      </c>
      <c r="K20" s="7">
        <f>IFERROR(__xludf.DUMMYFUNCTION("""COMPUTED_VALUE"""),45983.0)</f>
        <v>45983</v>
      </c>
      <c r="L20" s="3" t="str">
        <f>IFERROR(__xludf.DUMMYFUNCTION("""COMPUTED_VALUE"""),"Wednesday, Saturday")</f>
        <v>Wednesday, Saturday</v>
      </c>
      <c r="M20" s="3" t="str">
        <f>IFERROR(__xludf.DUMMYFUNCTION("""COMPUTED_VALUE"""),"07:00 AM - 01:00 PM   07:00 AM - 01:00 PM")</f>
        <v>07:00 AM - 01:00 PM   07:00 AM - 01:00 PM</v>
      </c>
      <c r="N20" s="3" t="str">
        <f>IFERROR(__xludf.DUMMYFUNCTION("""COMPUTED_VALUE"""),"Weekly")</f>
        <v>Weekly</v>
      </c>
      <c r="O20" s="6" t="str">
        <f>IFERROR(__xludf.DUMMYFUNCTION("""COMPUTED_VALUE"""),"http://greencitymarket.org")</f>
        <v>http://greencitymarket.org</v>
      </c>
      <c r="P20" s="6" t="str">
        <f>IFERROR(__xludf.DUMMYFUNCTION("""COMPUTED_VALUE"""),"http://www.instagram.com/greencitymarket")</f>
        <v>http://www.instagram.com/greencitymarket</v>
      </c>
      <c r="Q20" s="6" t="str">
        <f>IFERROR(__xludf.DUMMYFUNCTION("""COMPUTED_VALUE"""),"http://www.facebook.com/greencitymarket")</f>
        <v>http://www.facebook.com/greencitymarket</v>
      </c>
      <c r="R20" s="3" t="str">
        <f>IFERROR(__xludf.DUMMYFUNCTION("""COMPUTED_VALUE"""),"Chicago")</f>
        <v>Chicago</v>
      </c>
      <c r="S20" s="3"/>
    </row>
    <row r="21">
      <c r="A21" s="3" t="str">
        <f>IFERROR(__xludf.DUMMYFUNCTION("""COMPUTED_VALUE"""),"Green City Market - West Loop")</f>
        <v>Green City Market - West Loop</v>
      </c>
      <c r="B21" s="3" t="str">
        <f>IFERROR(__xludf.DUMMYFUNCTION("""COMPUTED_VALUE"""),"Farmers Market")</f>
        <v>Farmers Market</v>
      </c>
      <c r="C21" s="3" t="b">
        <f>IFERROR(__xludf.DUMMYFUNCTION("""COMPUTED_VALUE"""),TRUE)</f>
        <v>1</v>
      </c>
      <c r="D21" s="3" t="str">
        <f>IFERROR(__xludf.DUMMYFUNCTION("""COMPUTED_VALUE"""),"41.88002979032797, -87.65063888149106")</f>
        <v>41.88002979032797, -87.65063888149106</v>
      </c>
      <c r="E21" s="3" t="str">
        <f>IFERROR(__xludf.DUMMYFUNCTION("""COMPUTED_VALUE"""),"115 S Sangamon St")</f>
        <v>115 S Sangamon St</v>
      </c>
      <c r="F21" s="3"/>
      <c r="G21" s="3" t="str">
        <f>IFERROR(__xludf.DUMMYFUNCTION("""COMPUTED_VALUE"""),"Chicago")</f>
        <v>Chicago</v>
      </c>
      <c r="H21" s="3" t="str">
        <f>IFERROR(__xludf.DUMMYFUNCTION("""COMPUTED_VALUE"""),"IL")</f>
        <v>IL</v>
      </c>
      <c r="I21" s="3">
        <f>IFERROR(__xludf.DUMMYFUNCTION("""COMPUTED_VALUE"""),60607.0)</f>
        <v>60607</v>
      </c>
      <c r="J21" s="7">
        <f>IFERROR(__xludf.DUMMYFUNCTION("""COMPUTED_VALUE"""),45780.0)</f>
        <v>45780</v>
      </c>
      <c r="K21" s="7">
        <f>IFERROR(__xludf.DUMMYFUNCTION("""COMPUTED_VALUE"""),45983.0)</f>
        <v>45983</v>
      </c>
      <c r="L21" s="3" t="str">
        <f>IFERROR(__xludf.DUMMYFUNCTION("""COMPUTED_VALUE"""),"Saturday")</f>
        <v>Saturday</v>
      </c>
      <c r="M21" s="3" t="str">
        <f>IFERROR(__xludf.DUMMYFUNCTION("""COMPUTED_VALUE"""),"08:00 AM - 01:00 PM")</f>
        <v>08:00 AM - 01:00 PM</v>
      </c>
      <c r="N21" s="3" t="str">
        <f>IFERROR(__xludf.DUMMYFUNCTION("""COMPUTED_VALUE"""),"Weekly")</f>
        <v>Weekly</v>
      </c>
      <c r="O21" s="6" t="str">
        <f>IFERROR(__xludf.DUMMYFUNCTION("""COMPUTED_VALUE"""),"http://greencitymarket.org")</f>
        <v>http://greencitymarket.org</v>
      </c>
      <c r="P21" s="6" t="str">
        <f>IFERROR(__xludf.DUMMYFUNCTION("""COMPUTED_VALUE"""),"http://www.instagram.com/greencitymarket")</f>
        <v>http://www.instagram.com/greencitymarket</v>
      </c>
      <c r="Q21" s="6" t="str">
        <f>IFERROR(__xludf.DUMMYFUNCTION("""COMPUTED_VALUE"""),"http://www.facebook.com/greencitymarket")</f>
        <v>http://www.facebook.com/greencitymarket</v>
      </c>
      <c r="R21" s="3" t="str">
        <f>IFERROR(__xludf.DUMMYFUNCTION("""COMPUTED_VALUE"""),"Chicago")</f>
        <v>Chicago</v>
      </c>
      <c r="S21" s="3"/>
    </row>
    <row r="22">
      <c r="A22" s="3" t="str">
        <f>IFERROR(__xludf.DUMMYFUNCTION("""COMPUTED_VALUE"""),"Jo Daviess Local Foods")</f>
        <v>Jo Daviess Local Foods</v>
      </c>
      <c r="B22" s="3" t="str">
        <f>IFERROR(__xludf.DUMMYFUNCTION("""COMPUTED_VALUE"""),"Mobile Market")</f>
        <v>Mobile Market</v>
      </c>
      <c r="C22" s="3" t="b">
        <f>IFERROR(__xludf.DUMMYFUNCTION("""COMPUTED_VALUE"""),TRUE)</f>
        <v>1</v>
      </c>
      <c r="D22" s="3" t="str">
        <f>IFERROR(__xludf.DUMMYFUNCTION("""COMPUTED_VALUE"""),"42.256400086425934, -90.27972513218549")</f>
        <v>42.256400086425934, -90.27972513218549</v>
      </c>
      <c r="E22" s="3"/>
      <c r="F22" s="3"/>
      <c r="G22" s="3"/>
      <c r="H22" s="3"/>
      <c r="I22" s="3"/>
      <c r="J22" s="7">
        <f>IFERROR(__xludf.DUMMYFUNCTION("""COMPUTED_VALUE"""),45664.0)</f>
        <v>45664</v>
      </c>
      <c r="K22" s="7">
        <f>IFERROR(__xludf.DUMMYFUNCTION("""COMPUTED_VALUE"""),46014.0)</f>
        <v>46014</v>
      </c>
      <c r="L22" s="3" t="str">
        <f>IFERROR(__xludf.DUMMYFUNCTION("""COMPUTED_VALUE"""),"Tuesday")</f>
        <v>Tuesday</v>
      </c>
      <c r="M22" s="3"/>
      <c r="N22" s="3" t="str">
        <f>IFERROR(__xludf.DUMMYFUNCTION("""COMPUTED_VALUE"""),"Weekly")</f>
        <v>Weekly</v>
      </c>
      <c r="O22" s="6" t="str">
        <f>IFERROR(__xludf.DUMMYFUNCTION("""COMPUTED_VALUE"""),"http://www.jdlf.org")</f>
        <v>http://www.jdlf.org</v>
      </c>
      <c r="P22" s="6" t="str">
        <f>IFERROR(__xludf.DUMMYFUNCTION("""COMPUTED_VALUE"""),"http://www.instagram.com/jdlocalfoods")</f>
        <v>http://www.instagram.com/jdlocalfoods</v>
      </c>
      <c r="Q22" s="6" t="str">
        <f>IFERROR(__xludf.DUMMYFUNCTION("""COMPUTED_VALUE"""),"http://www.facebook.com/groups/jdlfmarket/")</f>
        <v>http://www.facebook.com/groups/jdlfmarket/</v>
      </c>
      <c r="R22" s="3" t="str">
        <f>IFERROR(__xludf.DUMMYFUNCTION("""COMPUTED_VALUE"""),"Northern IL")</f>
        <v>Northern IL</v>
      </c>
      <c r="S22" s="3" t="str">
        <f>IFERROR(__xludf.DUMMYFUNCTION("""COMPUTED_VALUE"""),"Customers order online, and then we deliver orders every Tuesday, year-round.")</f>
        <v>Customers order online, and then we deliver orders every Tuesday, year-round.</v>
      </c>
    </row>
    <row r="23">
      <c r="A23" s="3" t="str">
        <f>IFERROR(__xludf.DUMMYFUNCTION("""COMPUTED_VALUE"""),"LEAF Food Hub")</f>
        <v>LEAF Food Hub</v>
      </c>
      <c r="B23" s="3" t="str">
        <f>IFERROR(__xludf.DUMMYFUNCTION("""COMPUTED_VALUE"""),"Mobile Market")</f>
        <v>Mobile Market</v>
      </c>
      <c r="C23" s="3" t="b">
        <f>IFERROR(__xludf.DUMMYFUNCTION("""COMPUTED_VALUE"""),TRUE)</f>
        <v>1</v>
      </c>
      <c r="D23" s="3" t="str">
        <f>IFERROR(__xludf.DUMMYFUNCTION("""COMPUTED_VALUE"""),"37.72393463838875, -89.21215444201435")</f>
        <v>37.72393463838875, -89.21215444201435</v>
      </c>
      <c r="E23" s="3"/>
      <c r="F23" s="3"/>
      <c r="G23" s="3"/>
      <c r="H23" s="3"/>
      <c r="I23" s="3"/>
      <c r="J23" s="7">
        <f>IFERROR(__xludf.DUMMYFUNCTION("""COMPUTED_VALUE"""),45666.0)</f>
        <v>45666</v>
      </c>
      <c r="K23" s="7">
        <f>IFERROR(__xludf.DUMMYFUNCTION("""COMPUTED_VALUE"""),46009.0)</f>
        <v>46009</v>
      </c>
      <c r="L23" s="3" t="str">
        <f>IFERROR(__xludf.DUMMYFUNCTION("""COMPUTED_VALUE"""),"Friday-Tuesday")</f>
        <v>Friday-Tuesday</v>
      </c>
      <c r="M23" s="3"/>
      <c r="N23" s="3" t="str">
        <f>IFERROR(__xludf.DUMMYFUNCTION("""COMPUTED_VALUE"""),"Weekly")</f>
        <v>Weekly</v>
      </c>
      <c r="O23" s="6" t="str">
        <f>IFERROR(__xludf.DUMMYFUNCTION("""COMPUTED_VALUE"""),"http://www.leaffoodhub.com/")</f>
        <v>http://www.leaffoodhub.com/</v>
      </c>
      <c r="P23" s="6" t="str">
        <f>IFERROR(__xludf.DUMMYFUNCTION("""COMPUTED_VALUE"""),"http://www.instagram.com/leaffoodhub/")</f>
        <v>http://www.instagram.com/leaffoodhub/</v>
      </c>
      <c r="Q23" s="6" t="str">
        <f>IFERROR(__xludf.DUMMYFUNCTION("""COMPUTED_VALUE"""),"http://www.facebook.com/LEAFFoodHub")</f>
        <v>http://www.facebook.com/LEAFFoodHub</v>
      </c>
      <c r="R23" s="3" t="str">
        <f>IFERROR(__xludf.DUMMYFUNCTION("""COMPUTED_VALUE"""),"Southern IL")</f>
        <v>Southern IL</v>
      </c>
      <c r="S23" s="3" t="str">
        <f>IFERROR(__xludf.DUMMYFUNCTION("""COMPUTED_VALUE"""),"Open year round - check website for details
On-line ordering: Fridays 12pm - Tuesdays 8pm
Pick-up/delivery: Thursday afternoons")</f>
        <v>Open year round - check website for details
On-line ordering: Fridays 12pm - Tuesdays 8pm
Pick-up/delivery: Thursday afternoons</v>
      </c>
    </row>
    <row r="24">
      <c r="A24" s="3" t="str">
        <f>IFERROR(__xludf.DUMMYFUNCTION("""COMPUTED_VALUE"""),"Liberty Prairie Farm Store")</f>
        <v>Liberty Prairie Farm Store</v>
      </c>
      <c r="B24" s="3" t="str">
        <f>IFERROR(__xludf.DUMMYFUNCTION("""COMPUTED_VALUE"""),"Retail Space")</f>
        <v>Retail Space</v>
      </c>
      <c r="C24" s="3" t="b">
        <f>IFERROR(__xludf.DUMMYFUNCTION("""COMPUTED_VALUE"""),TRUE)</f>
        <v>1</v>
      </c>
      <c r="D24" s="3" t="str">
        <f>IFERROR(__xludf.DUMMYFUNCTION("""COMPUTED_VALUE"""),"42.34267779821924, -88.01531291985819")</f>
        <v>42.34267779821924, -88.01531291985819</v>
      </c>
      <c r="E24" s="3" t="str">
        <f>IFERROR(__xludf.DUMMYFUNCTION("""COMPUTED_VALUE"""),"970 Harris Rd")</f>
        <v>970 Harris Rd</v>
      </c>
      <c r="F24" s="3" t="str">
        <f>IFERROR(__xludf.DUMMYFUNCTION("""COMPUTED_VALUE"""),"Suite 1B")</f>
        <v>Suite 1B</v>
      </c>
      <c r="G24" s="3" t="str">
        <f>IFERROR(__xludf.DUMMYFUNCTION("""COMPUTED_VALUE"""),"Grayslake")</f>
        <v>Grayslake</v>
      </c>
      <c r="H24" s="3" t="str">
        <f>IFERROR(__xludf.DUMMYFUNCTION("""COMPUTED_VALUE"""),"IL")</f>
        <v>IL</v>
      </c>
      <c r="I24" s="3">
        <f>IFERROR(__xludf.DUMMYFUNCTION("""COMPUTED_VALUE"""),60030.0)</f>
        <v>60030</v>
      </c>
      <c r="J24" s="7">
        <f>IFERROR(__xludf.DUMMYFUNCTION("""COMPUTED_VALUE"""),45658.0)</f>
        <v>45658</v>
      </c>
      <c r="K24" s="7">
        <f>IFERROR(__xludf.DUMMYFUNCTION("""COMPUTED_VALUE"""),46143.0)</f>
        <v>46143</v>
      </c>
      <c r="L24" s="3" t="str">
        <f>IFERROR(__xludf.DUMMYFUNCTION("""COMPUTED_VALUE"""),"Wednesday, Thursday, Friday, Saturday, Sunday")</f>
        <v>Wednesday, Thursday, Friday, Saturday, Sunday</v>
      </c>
      <c r="M24" s="3" t="str">
        <f>IFERROR(__xludf.DUMMYFUNCTION("""COMPUTED_VALUE"""),"10:00 AM - 06:00 PM 10:00 AM - 06:00 PM 10:00 AM - 06:00 PM 10:00 AM - 06:00 PM 01:00 PM - 06:00 PM")</f>
        <v>10:00 AM - 06:00 PM 10:00 AM - 06:00 PM 10:00 AM - 06:00 PM 10:00 AM - 06:00 PM 01:00 PM - 06:00 PM</v>
      </c>
      <c r="N24" s="3" t="str">
        <f>IFERROR(__xludf.DUMMYFUNCTION("""COMPUTED_VALUE"""),"Weekly")</f>
        <v>Weekly</v>
      </c>
      <c r="O24" s="6" t="str">
        <f>IFERROR(__xludf.DUMMYFUNCTION("""COMPUTED_VALUE"""),"http://www.libertyprairie.org")</f>
        <v>http://www.libertyprairie.org</v>
      </c>
      <c r="P24" s="6" t="str">
        <f>IFERROR(__xludf.DUMMYFUNCTION("""COMPUTED_VALUE"""),"http://www.instagram.com/libertyprairie")</f>
        <v>http://www.instagram.com/libertyprairie</v>
      </c>
      <c r="Q24" s="6" t="str">
        <f>IFERROR(__xludf.DUMMYFUNCTION("""COMPUTED_VALUE"""),"http://www.facebook.com/libertyprairieorg/")</f>
        <v>http://www.facebook.com/libertyprairieorg/</v>
      </c>
      <c r="R24" s="3" t="str">
        <f>IFERROR(__xludf.DUMMYFUNCTION("""COMPUTED_VALUE"""),"Northern IL")</f>
        <v>Northern IL</v>
      </c>
      <c r="S24" s="3"/>
    </row>
    <row r="25">
      <c r="A25" s="3" t="str">
        <f>IFERROR(__xludf.DUMMYFUNCTION("""COMPUTED_VALUE"""),"Lincoln Square Farmers Market")</f>
        <v>Lincoln Square Farmers Market</v>
      </c>
      <c r="B25" s="3" t="str">
        <f>IFERROR(__xludf.DUMMYFUNCTION("""COMPUTED_VALUE"""),"Farmers Market")</f>
        <v>Farmers Market</v>
      </c>
      <c r="C25" s="3" t="b">
        <f>IFERROR(__xludf.DUMMYFUNCTION("""COMPUTED_VALUE"""),TRUE)</f>
        <v>1</v>
      </c>
      <c r="D25" s="3" t="str">
        <f>IFERROR(__xludf.DUMMYFUNCTION("""COMPUTED_VALUE"""),"41.96399618517147, -87.68500763544841")</f>
        <v>41.96399618517147, -87.68500763544841</v>
      </c>
      <c r="E25" s="3" t="str">
        <f>IFERROR(__xludf.DUMMYFUNCTION("""COMPUTED_VALUE"""),"4513 N Lincoln Ave")</f>
        <v>4513 N Lincoln Ave</v>
      </c>
      <c r="F25" s="3"/>
      <c r="G25" s="3" t="str">
        <f>IFERROR(__xludf.DUMMYFUNCTION("""COMPUTED_VALUE"""),"Chicago")</f>
        <v>Chicago</v>
      </c>
      <c r="H25" s="3" t="str">
        <f>IFERROR(__xludf.DUMMYFUNCTION("""COMPUTED_VALUE"""),"IL")</f>
        <v>IL</v>
      </c>
      <c r="I25" s="3">
        <f>IFERROR(__xludf.DUMMYFUNCTION("""COMPUTED_VALUE"""),60625.0)</f>
        <v>60625</v>
      </c>
      <c r="J25" s="7">
        <f>IFERROR(__xludf.DUMMYFUNCTION("""COMPUTED_VALUE"""),45778.0)</f>
        <v>45778</v>
      </c>
      <c r="K25" s="7">
        <f>IFERROR(__xludf.DUMMYFUNCTION("""COMPUTED_VALUE"""),45979.0)</f>
        <v>45979</v>
      </c>
      <c r="L25" s="3" t="str">
        <f>IFERROR(__xludf.DUMMYFUNCTION("""COMPUTED_VALUE"""),"Tuesday, Thursday")</f>
        <v>Tuesday, Thursday</v>
      </c>
      <c r="M25" s="3" t="str">
        <f>IFERROR(__xludf.DUMMYFUNCTION("""COMPUTED_VALUE"""),"07:00 AM - 12:00 PM  03:00 PM - 07:00 PM")</f>
        <v>07:00 AM - 12:00 PM  03:00 PM - 07:00 PM</v>
      </c>
      <c r="N25" s="3" t="str">
        <f>IFERROR(__xludf.DUMMYFUNCTION("""COMPUTED_VALUE"""),"Weekly")</f>
        <v>Weekly</v>
      </c>
      <c r="O25" s="6" t="str">
        <f>IFERROR(__xludf.DUMMYFUNCTION("""COMPUTED_VALUE"""),"http://www.lincolnsquare.org/farmers-market")</f>
        <v>http://www.lincolnsquare.org/farmers-market</v>
      </c>
      <c r="P25" s="6" t="str">
        <f>IFERROR(__xludf.DUMMYFUNCTION("""COMPUTED_VALUE"""),"http://www.instagram.com/lincolnsquarefarmersmarket/")</f>
        <v>http://www.instagram.com/lincolnsquarefarmersmarket/</v>
      </c>
      <c r="Q25" s="6" t="str">
        <f>IFERROR(__xludf.DUMMYFUNCTION("""COMPUTED_VALUE"""),"http://www.facebook.com/lincolnsquarefarmersmarket")</f>
        <v>http://www.facebook.com/lincolnsquarefarmersmarket</v>
      </c>
      <c r="R25" s="3" t="str">
        <f>IFERROR(__xludf.DUMMYFUNCTION("""COMPUTED_VALUE"""),"Chicago")</f>
        <v>Chicago</v>
      </c>
      <c r="S25" s="3"/>
    </row>
    <row r="26">
      <c r="A26" s="3" t="str">
        <f>IFERROR(__xludf.DUMMYFUNCTION("""COMPUTED_VALUE"""),"Logan Square Indoor Farmers Market")</f>
        <v>Logan Square Indoor Farmers Market</v>
      </c>
      <c r="B26" s="3" t="str">
        <f>IFERROR(__xludf.DUMMYFUNCTION("""COMPUTED_VALUE"""),"Winter Market")</f>
        <v>Winter Market</v>
      </c>
      <c r="C26" s="3" t="b">
        <f>IFERROR(__xludf.DUMMYFUNCTION("""COMPUTED_VALUE"""),TRUE)</f>
        <v>1</v>
      </c>
      <c r="D26" s="3" t="str">
        <f>IFERROR(__xludf.DUMMYFUNCTION("""COMPUTED_VALUE"""),"41.93229620256962, -87.7127668619889")</f>
        <v>41.93229620256962, -87.7127668619889</v>
      </c>
      <c r="E26" s="3" t="str">
        <f>IFERROR(__xludf.DUMMYFUNCTION("""COMPUTED_VALUE"""),"2800 N Milwaukee Ave")</f>
        <v>2800 N Milwaukee Ave</v>
      </c>
      <c r="F26" s="3" t="str">
        <f>IFERROR(__xludf.DUMMYFUNCTION("""COMPUTED_VALUE"""),"1st Floor")</f>
        <v>1st Floor</v>
      </c>
      <c r="G26" s="3" t="str">
        <f>IFERROR(__xludf.DUMMYFUNCTION("""COMPUTED_VALUE"""),"Chicago")</f>
        <v>Chicago</v>
      </c>
      <c r="H26" s="3" t="str">
        <f>IFERROR(__xludf.DUMMYFUNCTION("""COMPUTED_VALUE"""),"IL")</f>
        <v>IL</v>
      </c>
      <c r="I26" s="3">
        <f>IFERROR(__xludf.DUMMYFUNCTION("""COMPUTED_VALUE"""),60618.0)</f>
        <v>60618</v>
      </c>
      <c r="J26" s="7">
        <f>IFERROR(__xludf.DUMMYFUNCTION("""COMPUTED_VALUE"""),45990.0)</f>
        <v>45990</v>
      </c>
      <c r="K26" s="7">
        <f>IFERROR(__xludf.DUMMYFUNCTION("""COMPUTED_VALUE"""),46109.0)</f>
        <v>46109</v>
      </c>
      <c r="L26" s="3" t="str">
        <f>IFERROR(__xludf.DUMMYFUNCTION("""COMPUTED_VALUE"""),"Saturday")</f>
        <v>Saturday</v>
      </c>
      <c r="M26" s="3" t="str">
        <f>IFERROR(__xludf.DUMMYFUNCTION("""COMPUTED_VALUE"""),"10:00 AM - 02:00 PM")</f>
        <v>10:00 AM - 02:00 PM</v>
      </c>
      <c r="N26" s="3" t="str">
        <f>IFERROR(__xludf.DUMMYFUNCTION("""COMPUTED_VALUE"""),"Weekly")</f>
        <v>Weekly</v>
      </c>
      <c r="O26" s="6" t="str">
        <f>IFERROR(__xludf.DUMMYFUNCTION("""COMPUTED_VALUE"""),"http://www.loganchamber.org")</f>
        <v>http://www.loganchamber.org</v>
      </c>
      <c r="P26" s="6" t="str">
        <f>IFERROR(__xludf.DUMMYFUNCTION("""COMPUTED_VALUE"""),"http://www.instagram.com/lsfarmersmarket")</f>
        <v>http://www.instagram.com/lsfarmersmarket</v>
      </c>
      <c r="Q26" s="6" t="str">
        <f>IFERROR(__xludf.DUMMYFUNCTION("""COMPUTED_VALUE"""),"http://www.facebook.com/LoganSquareFarmersMarket/about/")</f>
        <v>http://www.facebook.com/LoganSquareFarmersMarket/about/</v>
      </c>
      <c r="R26" s="3" t="str">
        <f>IFERROR(__xludf.DUMMYFUNCTION("""COMPUTED_VALUE"""),"Chicago")</f>
        <v>Chicago</v>
      </c>
      <c r="S26" s="3"/>
    </row>
    <row r="27">
      <c r="A27" s="3" t="str">
        <f>IFERROR(__xludf.DUMMYFUNCTION("""COMPUTED_VALUE"""),"LUCSA")</f>
        <v>LUCSA</v>
      </c>
      <c r="B27" s="3" t="str">
        <f>IFERROR(__xludf.DUMMYFUNCTION("""COMPUTED_VALUE"""),"CSA")</f>
        <v>CSA</v>
      </c>
      <c r="C27" s="3" t="b">
        <f>IFERROR(__xludf.DUMMYFUNCTION("""COMPUTED_VALUE"""),TRUE)</f>
        <v>1</v>
      </c>
      <c r="D27" s="3" t="str">
        <f>IFERROR(__xludf.DUMMYFUNCTION("""COMPUTED_VALUE"""),"41.84510814019036, -87.68180169737579")</f>
        <v>41.84510814019036, -87.68180169737579</v>
      </c>
      <c r="E27" s="3"/>
      <c r="F27" s="3"/>
      <c r="G27" s="3"/>
      <c r="H27" s="3"/>
      <c r="I27" s="3"/>
      <c r="J27" s="7">
        <f>IFERROR(__xludf.DUMMYFUNCTION("""COMPUTED_VALUE"""),45658.0)</f>
        <v>45658</v>
      </c>
      <c r="K27" s="7">
        <f>IFERROR(__xludf.DUMMYFUNCTION("""COMPUTED_VALUE"""),46022.0)</f>
        <v>46022</v>
      </c>
      <c r="L27" s="3" t="str">
        <f>IFERROR(__xludf.DUMMYFUNCTION("""COMPUTED_VALUE"""),"Wednesday, Thursday, Friday")</f>
        <v>Wednesday, Thursday, Friday</v>
      </c>
      <c r="M27" s="3"/>
      <c r="N27" s="3" t="str">
        <f>IFERROR(__xludf.DUMMYFUNCTION("""COMPUTED_VALUE"""),"Weekly")</f>
        <v>Weekly</v>
      </c>
      <c r="O27" s="6" t="str">
        <f>IFERROR(__xludf.DUMMYFUNCTION("""COMPUTED_VALUE"""),"http://www.theurbancanopy.org/")</f>
        <v>http://www.theurbancanopy.org/</v>
      </c>
      <c r="P27" s="6" t="str">
        <f>IFERROR(__xludf.DUMMYFUNCTION("""COMPUTED_VALUE"""),"http://www.instagram.com/theurbancanopy/")</f>
        <v>http://www.instagram.com/theurbancanopy/</v>
      </c>
      <c r="Q27" s="6" t="str">
        <f>IFERROR(__xludf.DUMMYFUNCTION("""COMPUTED_VALUE"""),"http://www.facebook.com/people/The-Urban-Canopy/61557158537143/#")</f>
        <v>http://www.facebook.com/people/The-Urban-Canopy/61557158537143/#</v>
      </c>
      <c r="R27" s="3" t="str">
        <f>IFERROR(__xludf.DUMMYFUNCTION("""COMPUTED_VALUE"""),"Chicago")</f>
        <v>Chicago</v>
      </c>
      <c r="S27" s="3" t="str">
        <f>IFERROR(__xludf.DUMMYFUNCTION("""COMPUTED_VALUE"""),"LUCSA stands for Local Unified Community Supported Agriculture. We deliver a box of locally-sourced produce weekly throughout the year in the greater Chicagoland area.
LUCSA signup language: Sign-ups are now open year round! To sign up go to our website: "&amp;"theurbancanopy.org/csa Questions can be emailed to LUCSA@theurbancanopy.org")</f>
        <v>LUCSA stands for Local Unified Community Supported Agriculture. We deliver a box of locally-sourced produce weekly throughout the year in the greater Chicagoland area.
LUCSA signup language: Sign-ups are now open year round! To sign up go to our website: theurbancanopy.org/csa Questions can be emailed to LUCSA@theurbancanopy.org</v>
      </c>
    </row>
    <row r="28">
      <c r="A28" s="3" t="str">
        <f>IFERROR(__xludf.DUMMYFUNCTION("""COMPUTED_VALUE"""),"Macomb Winter Market")</f>
        <v>Macomb Winter Market</v>
      </c>
      <c r="B28" s="3" t="str">
        <f>IFERROR(__xludf.DUMMYFUNCTION("""COMPUTED_VALUE"""),"Winter Market")</f>
        <v>Winter Market</v>
      </c>
      <c r="C28" s="3" t="b">
        <f>IFERROR(__xludf.DUMMYFUNCTION("""COMPUTED_VALUE"""),TRUE)</f>
        <v>1</v>
      </c>
      <c r="D28" s="3" t="str">
        <f>IFERROR(__xludf.DUMMYFUNCTION("""COMPUTED_VALUE"""),"40.45738867717257, -90.6693424289735")</f>
        <v>40.45738867717257, -90.6693424289735</v>
      </c>
      <c r="E28" s="3" t="str">
        <f>IFERROR(__xludf.DUMMYFUNCTION("""COMPUTED_VALUE"""),"221 E Washington St")</f>
        <v>221 E Washington St</v>
      </c>
      <c r="F28" s="3"/>
      <c r="G28" s="3" t="str">
        <f>IFERROR(__xludf.DUMMYFUNCTION("""COMPUTED_VALUE"""),"Macomb")</f>
        <v>Macomb</v>
      </c>
      <c r="H28" s="3" t="str">
        <f>IFERROR(__xludf.DUMMYFUNCTION("""COMPUTED_VALUE"""),"IL")</f>
        <v>IL</v>
      </c>
      <c r="I28" s="3">
        <f>IFERROR(__xludf.DUMMYFUNCTION("""COMPUTED_VALUE"""),61455.0)</f>
        <v>61455</v>
      </c>
      <c r="J28" s="7">
        <f>IFERROR(__xludf.DUMMYFUNCTION("""COMPUTED_VALUE"""),45969.0)</f>
        <v>45969</v>
      </c>
      <c r="K28" s="7">
        <f>IFERROR(__xludf.DUMMYFUNCTION("""COMPUTED_VALUE"""),46123.0)</f>
        <v>46123</v>
      </c>
      <c r="L28" s="3" t="str">
        <f>IFERROR(__xludf.DUMMYFUNCTION("""COMPUTED_VALUE"""),"Saturday")</f>
        <v>Saturday</v>
      </c>
      <c r="M28" s="3" t="str">
        <f>IFERROR(__xludf.DUMMYFUNCTION("""COMPUTED_VALUE"""),"08:30 AM - 12:00 PM")</f>
        <v>08:30 AM - 12:00 PM</v>
      </c>
      <c r="N28" s="3" t="str">
        <f>IFERROR(__xludf.DUMMYFUNCTION("""COMPUTED_VALUE"""),"Other")</f>
        <v>Other</v>
      </c>
      <c r="O28" s="6" t="str">
        <f>IFERROR(__xludf.DUMMYFUNCTION("""COMPUTED_VALUE"""),"http://www.prairiehillsrcd.org/macomb-farmers-market.html")</f>
        <v>http://www.prairiehillsrcd.org/macomb-farmers-market.html</v>
      </c>
      <c r="P28" s="6" t="str">
        <f>IFERROR(__xludf.DUMMYFUNCTION("""COMPUTED_VALUE"""),"http://www.instagram.com/macombilfarmersmarket/")</f>
        <v>http://www.instagram.com/macombilfarmersmarket/</v>
      </c>
      <c r="Q28" s="6" t="str">
        <f>IFERROR(__xludf.DUMMYFUNCTION("""COMPUTED_VALUE"""),"http://www.facebook.com/MacombFarmersMarket")</f>
        <v>http://www.facebook.com/MacombFarmersMarket</v>
      </c>
      <c r="R28" s="3" t="str">
        <f>IFERROR(__xludf.DUMMYFUNCTION("""COMPUTED_VALUE"""),"Central IL")</f>
        <v>Central IL</v>
      </c>
      <c r="S28" s="3" t="str">
        <f>IFERROR(__xludf.DUMMYFUNCTION("""COMPUTED_VALUE"""),"Nov 22 | Dec 13 | Jan 17 | Feb 7 | Mar 7 | Mar 28")</f>
        <v>Nov 22 | Dec 13 | Jan 17 | Feb 7 | Mar 7 | Mar 28</v>
      </c>
    </row>
    <row r="29">
      <c r="A29" s="3" t="str">
        <f>IFERROR(__xludf.DUMMYFUNCTION("""COMPUTED_VALUE"""),"Market 309 - Trewyn Park")</f>
        <v>Market 309 - Trewyn Park</v>
      </c>
      <c r="B29" s="3" t="str">
        <f>IFERROR(__xludf.DUMMYFUNCTION("""COMPUTED_VALUE"""),"Pop-up Market")</f>
        <v>Pop-up Market</v>
      </c>
      <c r="C29" s="3" t="b">
        <f>IFERROR(__xludf.DUMMYFUNCTION("""COMPUTED_VALUE"""),TRUE)</f>
        <v>1</v>
      </c>
      <c r="D29" s="3" t="str">
        <f>IFERROR(__xludf.DUMMYFUNCTION("""COMPUTED_VALUE"""),"40.66253891802083, -89.64116289228643")</f>
        <v>40.66253891802083, -89.64116289228643</v>
      </c>
      <c r="E29" s="3" t="str">
        <f>IFERROR(__xludf.DUMMYFUNCTION("""COMPUTED_VALUE"""),"2219 S Idaho St")</f>
        <v>2219 S Idaho St</v>
      </c>
      <c r="F29" s="3"/>
      <c r="G29" s="3" t="str">
        <f>IFERROR(__xludf.DUMMYFUNCTION("""COMPUTED_VALUE"""),"Peoria")</f>
        <v>Peoria</v>
      </c>
      <c r="H29" s="3" t="str">
        <f>IFERROR(__xludf.DUMMYFUNCTION("""COMPUTED_VALUE"""),"IL")</f>
        <v>IL</v>
      </c>
      <c r="I29" s="3">
        <f>IFERROR(__xludf.DUMMYFUNCTION("""COMPUTED_VALUE"""),61605.0)</f>
        <v>61605</v>
      </c>
      <c r="J29" s="7">
        <f>IFERROR(__xludf.DUMMYFUNCTION("""COMPUTED_VALUE"""),45658.0)</f>
        <v>45658</v>
      </c>
      <c r="K29" s="7">
        <f>IFERROR(__xludf.DUMMYFUNCTION("""COMPUTED_VALUE"""),46022.0)</f>
        <v>46022</v>
      </c>
      <c r="L29" s="3" t="str">
        <f>IFERROR(__xludf.DUMMYFUNCTION("""COMPUTED_VALUE"""),"Sunday")</f>
        <v>Sunday</v>
      </c>
      <c r="M29" s="3" t="str">
        <f>IFERROR(__xludf.DUMMYFUNCTION("""COMPUTED_VALUE"""),"11:30 AM - 01:00 PM")</f>
        <v>11:30 AM - 01:00 PM</v>
      </c>
      <c r="N29" s="3" t="str">
        <f>IFERROR(__xludf.DUMMYFUNCTION("""COMPUTED_VALUE"""),"Weekly")</f>
        <v>Weekly</v>
      </c>
      <c r="O29" s="6" t="str">
        <f>IFERROR(__xludf.DUMMYFUNCTION("""COMPUTED_VALUE"""),"http://www.peoriagrown.com/")</f>
        <v>http://www.peoriagrown.com/</v>
      </c>
      <c r="P29" s="6" t="str">
        <f>IFERROR(__xludf.DUMMYFUNCTION("""COMPUTED_VALUE"""),"http://www.instagram.com/peoriagrown/")</f>
        <v>http://www.instagram.com/peoriagrown/</v>
      </c>
      <c r="Q29" s="6" t="str">
        <f>IFERROR(__xludf.DUMMYFUNCTION("""COMPUTED_VALUE"""),"http://www.facebook.com/peoriagrown")</f>
        <v>http://www.facebook.com/peoriagrown</v>
      </c>
      <c r="R29" s="3" t="str">
        <f>IFERROR(__xludf.DUMMYFUNCTION("""COMPUTED_VALUE"""),"Central IL")</f>
        <v>Central IL</v>
      </c>
      <c r="S29" s="3"/>
    </row>
    <row r="30">
      <c r="A30" s="3" t="str">
        <f>IFERROR(__xludf.DUMMYFUNCTION("""COMPUTED_VALUE"""),"Outdoor Land of Goshen Community Winter Market")</f>
        <v>Outdoor Land of Goshen Community Winter Market</v>
      </c>
      <c r="B30" s="3" t="str">
        <f>IFERROR(__xludf.DUMMYFUNCTION("""COMPUTED_VALUE"""),"Winter Market")</f>
        <v>Winter Market</v>
      </c>
      <c r="C30" s="3" t="b">
        <f>IFERROR(__xludf.DUMMYFUNCTION("""COMPUTED_VALUE"""),TRUE)</f>
        <v>1</v>
      </c>
      <c r="D30" s="3" t="str">
        <f>IFERROR(__xludf.DUMMYFUNCTION("""COMPUTED_VALUE"""),"38.812652329954716, -89.95706717414012")</f>
        <v>38.812652329954716, -89.95706717414012</v>
      </c>
      <c r="E30" s="3" t="str">
        <f>IFERROR(__xludf.DUMMYFUNCTION("""COMPUTED_VALUE"""),"100 St Louis St")</f>
        <v>100 St Louis St</v>
      </c>
      <c r="F30" s="3"/>
      <c r="G30" s="3" t="str">
        <f>IFERROR(__xludf.DUMMYFUNCTION("""COMPUTED_VALUE"""),"Edwardsville")</f>
        <v>Edwardsville</v>
      </c>
      <c r="H30" s="3" t="str">
        <f>IFERROR(__xludf.DUMMYFUNCTION("""COMPUTED_VALUE"""),"IL")</f>
        <v>IL</v>
      </c>
      <c r="I30" s="3">
        <f>IFERROR(__xludf.DUMMYFUNCTION("""COMPUTED_VALUE"""),62025.0)</f>
        <v>62025</v>
      </c>
      <c r="J30" s="7">
        <f>IFERROR(__xludf.DUMMYFUNCTION("""COMPUTED_VALUE"""),45976.0)</f>
        <v>45976</v>
      </c>
      <c r="K30" s="7">
        <f>IFERROR(__xludf.DUMMYFUNCTION("""COMPUTED_VALUE"""),46130.0)</f>
        <v>46130</v>
      </c>
      <c r="L30" s="3" t="str">
        <f>IFERROR(__xludf.DUMMYFUNCTION("""COMPUTED_VALUE"""),"Saturday")</f>
        <v>Saturday</v>
      </c>
      <c r="M30" s="3" t="str">
        <f>IFERROR(__xludf.DUMMYFUNCTION("""COMPUTED_VALUE"""),"10:00 AM - 12:00 PM")</f>
        <v>10:00 AM - 12:00 PM</v>
      </c>
      <c r="N30" s="3" t="str">
        <f>IFERROR(__xludf.DUMMYFUNCTION("""COMPUTED_VALUE"""),"Monthly")</f>
        <v>Monthly</v>
      </c>
      <c r="O30" s="6" t="str">
        <f>IFERROR(__xludf.DUMMYFUNCTION("""COMPUTED_VALUE"""),"http://goshenmarket.org/")</f>
        <v>http://goshenmarket.org/</v>
      </c>
      <c r="P30" s="3"/>
      <c r="Q30" s="6" t="str">
        <f>IFERROR(__xludf.DUMMYFUNCTION("""COMPUTED_VALUE"""),"http://www.facebook.com/goshenmarket/")</f>
        <v>http://www.facebook.com/goshenmarket/</v>
      </c>
      <c r="R30" s="3" t="str">
        <f>IFERROR(__xludf.DUMMYFUNCTION("""COMPUTED_VALUE"""),"Southern IL")</f>
        <v>Southern IL</v>
      </c>
      <c r="S30" s="3" t="str">
        <f>IFERROR(__xludf.DUMMYFUNCTION("""COMPUTED_VALUE"""),"3rd Saturday of the month: 
Nov 16 | Dec 21 | Jan 18 | Feb 15 | Mar 15 | Apr 19")</f>
        <v>3rd Saturday of the month: 
Nov 16 | Dec 21 | Jan 18 | Feb 15 | Mar 15 | Apr 19</v>
      </c>
    </row>
    <row r="31">
      <c r="A31" s="3" t="str">
        <f>IFERROR(__xludf.DUMMYFUNCTION("""COMPUTED_VALUE"""),"Plant Chicago Indoor Firehouse Market")</f>
        <v>Plant Chicago Indoor Firehouse Market</v>
      </c>
      <c r="B31" s="3" t="str">
        <f>IFERROR(__xludf.DUMMYFUNCTION("""COMPUTED_VALUE"""),"Retail Space")</f>
        <v>Retail Space</v>
      </c>
      <c r="C31" s="3" t="b">
        <f>IFERROR(__xludf.DUMMYFUNCTION("""COMPUTED_VALUE"""),TRUE)</f>
        <v>1</v>
      </c>
      <c r="D31" s="3" t="str">
        <f>IFERROR(__xludf.DUMMYFUNCTION("""COMPUTED_VALUE"""),"41.81250791583842, -87.6659289903483")</f>
        <v>41.81250791583842, -87.6659289903483</v>
      </c>
      <c r="E31" s="3" t="str">
        <f>IFERROR(__xludf.DUMMYFUNCTION("""COMPUTED_VALUE"""),"4459 S Marshfield Ave")</f>
        <v>4459 S Marshfield Ave</v>
      </c>
      <c r="F31" s="3"/>
      <c r="G31" s="3" t="str">
        <f>IFERROR(__xludf.DUMMYFUNCTION("""COMPUTED_VALUE"""),"Chicago")</f>
        <v>Chicago</v>
      </c>
      <c r="H31" s="3" t="str">
        <f>IFERROR(__xludf.DUMMYFUNCTION("""COMPUTED_VALUE"""),"IL")</f>
        <v>IL</v>
      </c>
      <c r="I31" s="3">
        <f>IFERROR(__xludf.DUMMYFUNCTION("""COMPUTED_VALUE"""),60609.0)</f>
        <v>60609</v>
      </c>
      <c r="J31" s="7">
        <f>IFERROR(__xludf.DUMMYFUNCTION("""COMPUTED_VALUE"""),45660.0)</f>
        <v>45660</v>
      </c>
      <c r="K31" s="7">
        <f>IFERROR(__xludf.DUMMYFUNCTION("""COMPUTED_VALUE"""),46011.0)</f>
        <v>46011</v>
      </c>
      <c r="L31" s="3" t="str">
        <f>IFERROR(__xludf.DUMMYFUNCTION("""COMPUTED_VALUE"""),"Friday, Saturday")</f>
        <v>Friday, Saturday</v>
      </c>
      <c r="M31" s="3" t="str">
        <f>IFERROR(__xludf.DUMMYFUNCTION("""COMPUTED_VALUE"""),"11:00 AM - 05:00 PM 11:00 AM - 05:00 PM")</f>
        <v>11:00 AM - 05:00 PM 11:00 AM - 05:00 PM</v>
      </c>
      <c r="N31" s="3" t="str">
        <f>IFERROR(__xludf.DUMMYFUNCTION("""COMPUTED_VALUE"""),"Weekly")</f>
        <v>Weekly</v>
      </c>
      <c r="O31" s="6" t="str">
        <f>IFERROR(__xludf.DUMMYFUNCTION("""COMPUTED_VALUE"""),"http://www.plantchicago.org")</f>
        <v>http://www.plantchicago.org</v>
      </c>
      <c r="P31" s="6" t="str">
        <f>IFERROR(__xludf.DUMMYFUNCTION("""COMPUTED_VALUE"""),"http://www.instagram.com/plantchicagonfp")</f>
        <v>http://www.instagram.com/plantchicagonfp</v>
      </c>
      <c r="Q31" s="6" t="str">
        <f>IFERROR(__xludf.DUMMYFUNCTION("""COMPUTED_VALUE"""),"http://www.facebook.com/plantchicagonotforprofit")</f>
        <v>http://www.facebook.com/plantchicagonotforprofit</v>
      </c>
      <c r="R31" s="3" t="str">
        <f>IFERROR(__xludf.DUMMYFUNCTION("""COMPUTED_VALUE"""),"Chicago")</f>
        <v>Chicago</v>
      </c>
      <c r="S31" s="3"/>
    </row>
    <row r="32">
      <c r="A32" s="3" t="str">
        <f>IFERROR(__xludf.DUMMYFUNCTION("""COMPUTED_VALUE"""),"QC Winter Farmers Market")</f>
        <v>QC Winter Farmers Market</v>
      </c>
      <c r="B32" s="3" t="str">
        <f>IFERROR(__xludf.DUMMYFUNCTION("""COMPUTED_VALUE"""),"Winter Market")</f>
        <v>Winter Market</v>
      </c>
      <c r="C32" s="3" t="b">
        <f>IFERROR(__xludf.DUMMYFUNCTION("""COMPUTED_VALUE"""),TRUE)</f>
        <v>1</v>
      </c>
      <c r="D32" s="3" t="str">
        <f>IFERROR(__xludf.DUMMYFUNCTION("""COMPUTED_VALUE"""),"41.5120213124832, -90.57718312105453")</f>
        <v>41.5120213124832, -90.57718312105453</v>
      </c>
      <c r="E32" s="3" t="str">
        <f>IFERROR(__xludf.DUMMYFUNCTION("""COMPUTED_VALUE"""),"1700 1st Ave")</f>
        <v>1700 1st Ave</v>
      </c>
      <c r="F32" s="3"/>
      <c r="G32" s="3" t="str">
        <f>IFERROR(__xludf.DUMMYFUNCTION("""COMPUTED_VALUE"""),"Rock Island")</f>
        <v>Rock Island</v>
      </c>
      <c r="H32" s="3" t="str">
        <f>IFERROR(__xludf.DUMMYFUNCTION("""COMPUTED_VALUE"""),"IL")</f>
        <v>IL</v>
      </c>
      <c r="I32" s="3">
        <f>IFERROR(__xludf.DUMMYFUNCTION("""COMPUTED_VALUE"""),61201.0)</f>
        <v>61201</v>
      </c>
      <c r="J32" s="7">
        <f>IFERROR(__xludf.DUMMYFUNCTION("""COMPUTED_VALUE"""),45962.0)</f>
        <v>45962</v>
      </c>
      <c r="K32" s="7">
        <f>IFERROR(__xludf.DUMMYFUNCTION("""COMPUTED_VALUE"""),46137.0)</f>
        <v>46137</v>
      </c>
      <c r="L32" s="3" t="str">
        <f>IFERROR(__xludf.DUMMYFUNCTION("""COMPUTED_VALUE"""),"Saturday")</f>
        <v>Saturday</v>
      </c>
      <c r="M32" s="3" t="str">
        <f>IFERROR(__xludf.DUMMYFUNCTION("""COMPUTED_VALUE"""),"10:00 AM - 12:00 PM")</f>
        <v>10:00 AM - 12:00 PM</v>
      </c>
      <c r="N32" s="3" t="str">
        <f>IFERROR(__xludf.DUMMYFUNCTION("""COMPUTED_VALUE"""),"Weekly")</f>
        <v>Weekly</v>
      </c>
      <c r="O32" s="6" t="str">
        <f>IFERROR(__xludf.DUMMYFUNCTION("""COMPUTED_VALUE"""),"http://www.qcfarmersmarket.online")</f>
        <v>http://www.qcfarmersmarket.online</v>
      </c>
      <c r="P32" s="6" t="str">
        <f>IFERROR(__xludf.DUMMYFUNCTION("""COMPUTED_VALUE"""),"http://www.instagram.com/qcfarmersmarket")</f>
        <v>http://www.instagram.com/qcfarmersmarket</v>
      </c>
      <c r="Q32" s="6" t="str">
        <f>IFERROR(__xludf.DUMMYFUNCTION("""COMPUTED_VALUE"""),"http://www.facebook.com/qcfarmersmarket")</f>
        <v>http://www.facebook.com/qcfarmersmarket</v>
      </c>
      <c r="R32" s="3" t="str">
        <f>IFERROR(__xludf.DUMMYFUNCTION("""COMPUTED_VALUE"""),"Northern IL")</f>
        <v>Northern IL</v>
      </c>
      <c r="S32" s="3"/>
    </row>
    <row r="33">
      <c r="A33" s="3" t="str">
        <f>IFERROR(__xludf.DUMMYFUNCTION("""COMPUTED_VALUE"""),"Richland Farmers Market")</f>
        <v>Richland Farmers Market</v>
      </c>
      <c r="B33" s="3" t="str">
        <f>IFERROR(__xludf.DUMMYFUNCTION("""COMPUTED_VALUE"""),"Farmers Market")</f>
        <v>Farmers Market</v>
      </c>
      <c r="C33" s="3" t="b">
        <f>IFERROR(__xludf.DUMMYFUNCTION("""COMPUTED_VALUE"""),TRUE)</f>
        <v>1</v>
      </c>
      <c r="D33" s="3" t="str">
        <f>IFERROR(__xludf.DUMMYFUNCTION("""COMPUTED_VALUE"""),"39.8838276159131, -88.89397868608775")</f>
        <v>39.8838276159131, -88.89397868608775</v>
      </c>
      <c r="E33" s="3" t="str">
        <f>IFERROR(__xludf.DUMMYFUNCTION("""COMPUTED_VALUE"""),"Michael D Andreas Building")</f>
        <v>Michael D Andreas Building</v>
      </c>
      <c r="F33" s="3" t="str">
        <f>IFERROR(__xludf.DUMMYFUNCTION("""COMPUTED_VALUE"""),"1 College Park")</f>
        <v>1 College Park</v>
      </c>
      <c r="G33" s="3" t="str">
        <f>IFERROR(__xludf.DUMMYFUNCTION("""COMPUTED_VALUE"""),"Decatur")</f>
        <v>Decatur</v>
      </c>
      <c r="H33" s="3" t="str">
        <f>IFERROR(__xludf.DUMMYFUNCTION("""COMPUTED_VALUE"""),"IL")</f>
        <v>IL</v>
      </c>
      <c r="I33" s="3">
        <f>IFERROR(__xludf.DUMMYFUNCTION("""COMPUTED_VALUE"""),62521.0)</f>
        <v>62521</v>
      </c>
      <c r="J33" s="7">
        <f>IFERROR(__xludf.DUMMYFUNCTION("""COMPUTED_VALUE"""),45824.0)</f>
        <v>45824</v>
      </c>
      <c r="K33" s="7">
        <f>IFERROR(__xludf.DUMMYFUNCTION("""COMPUTED_VALUE"""),45887.0)</f>
        <v>45887</v>
      </c>
      <c r="L33" s="3" t="str">
        <f>IFERROR(__xludf.DUMMYFUNCTION("""COMPUTED_VALUE"""),"Monday")</f>
        <v>Monday</v>
      </c>
      <c r="M33" s="3" t="str">
        <f>IFERROR(__xludf.DUMMYFUNCTION("""COMPUTED_VALUE"""),"04:00 PM - 06:00 PM")</f>
        <v>04:00 PM - 06:00 PM</v>
      </c>
      <c r="N33" s="3" t="str">
        <f>IFERROR(__xludf.DUMMYFUNCTION("""COMPUTED_VALUE"""),"Weekly")</f>
        <v>Weekly</v>
      </c>
      <c r="O33" s="3"/>
      <c r="P33" s="6" t="str">
        <f>IFERROR(__xludf.DUMMYFUNCTION("""COMPUTED_VALUE"""),"http://www.instagram.com/rcc_farms/")</f>
        <v>http://www.instagram.com/rcc_farms/</v>
      </c>
      <c r="Q33" s="6" t="str">
        <f>IFERROR(__xludf.DUMMYFUNCTION("""COMPUTED_VALUE"""),"http://www.facebook.com/RichlandStudentFarms/")</f>
        <v>http://www.facebook.com/RichlandStudentFarms/</v>
      </c>
      <c r="R33" s="3" t="str">
        <f>IFERROR(__xludf.DUMMYFUNCTION("""COMPUTED_VALUE"""),"Central IL")</f>
        <v>Central IL</v>
      </c>
      <c r="S33" s="3"/>
    </row>
    <row r="34">
      <c r="A34" s="3" t="str">
        <f>IFERROR(__xludf.DUMMYFUNCTION("""COMPUTED_VALUE"""),"Sola Gratia Farm")</f>
        <v>Sola Gratia Farm</v>
      </c>
      <c r="B34" s="3" t="str">
        <f>IFERROR(__xludf.DUMMYFUNCTION("""COMPUTED_VALUE"""),"Farm Stand")</f>
        <v>Farm Stand</v>
      </c>
      <c r="C34" s="3" t="b">
        <f>IFERROR(__xludf.DUMMYFUNCTION("""COMPUTED_VALUE"""),TRUE)</f>
        <v>1</v>
      </c>
      <c r="D34" s="3" t="str">
        <f>IFERROR(__xludf.DUMMYFUNCTION("""COMPUTED_VALUE"""),"40.08843425831317, -88.18993398943725")</f>
        <v>40.08843425831317, -88.18993398943725</v>
      </c>
      <c r="E34" s="3" t="str">
        <f>IFERROR(__xludf.DUMMYFUNCTION("""COMPUTED_VALUE"""),"2200 S Philo Rd")</f>
        <v>2200 S Philo Rd</v>
      </c>
      <c r="F34" s="3"/>
      <c r="G34" s="3" t="str">
        <f>IFERROR(__xludf.DUMMYFUNCTION("""COMPUTED_VALUE"""),"Urbana")</f>
        <v>Urbana</v>
      </c>
      <c r="H34" s="3" t="str">
        <f>IFERROR(__xludf.DUMMYFUNCTION("""COMPUTED_VALUE"""),"IL")</f>
        <v>IL</v>
      </c>
      <c r="I34" s="3">
        <f>IFERROR(__xludf.DUMMYFUNCTION("""COMPUTED_VALUE"""),61802.0)</f>
        <v>61802</v>
      </c>
      <c r="J34" s="7">
        <f>IFERROR(__xludf.DUMMYFUNCTION("""COMPUTED_VALUE"""),45820.0)</f>
        <v>45820</v>
      </c>
      <c r="K34" s="7">
        <f>IFERROR(__xludf.DUMMYFUNCTION("""COMPUTED_VALUE"""),45981.0)</f>
        <v>45981</v>
      </c>
      <c r="L34" s="3" t="str">
        <f>IFERROR(__xludf.DUMMYFUNCTION("""COMPUTED_VALUE"""),"Thursday")</f>
        <v>Thursday</v>
      </c>
      <c r="M34" s="3" t="str">
        <f>IFERROR(__xludf.DUMMYFUNCTION("""COMPUTED_VALUE"""),"03:00 PM - 06:00 PM")</f>
        <v>03:00 PM - 06:00 PM</v>
      </c>
      <c r="N34" s="3" t="str">
        <f>IFERROR(__xludf.DUMMYFUNCTION("""COMPUTED_VALUE"""),"Weekly")</f>
        <v>Weekly</v>
      </c>
      <c r="O34" s="6" t="str">
        <f>IFERROR(__xludf.DUMMYFUNCTION("""COMPUTED_VALUE"""),"http://www.solagratiacsa.com/")</f>
        <v>http://www.solagratiacsa.com/</v>
      </c>
      <c r="P34" s="6" t="str">
        <f>IFERROR(__xludf.DUMMYFUNCTION("""COMPUTED_VALUE"""),"http://www.instagram.com/solagratiafarm/")</f>
        <v>http://www.instagram.com/solagratiafarm/</v>
      </c>
      <c r="Q34" s="6" t="str">
        <f>IFERROR(__xludf.DUMMYFUNCTION("""COMPUTED_VALUE"""),"http://www.facebook.com/solagratiafarm/")</f>
        <v>http://www.facebook.com/solagratiafarm/</v>
      </c>
      <c r="R34" s="3" t="str">
        <f>IFERROR(__xludf.DUMMYFUNCTION("""COMPUTED_VALUE"""),"Central IL")</f>
        <v>Central IL</v>
      </c>
      <c r="S34" s="3" t="str">
        <f>IFERROR(__xludf.DUMMYFUNCTION("""COMPUTED_VALUE"""),"Pick ups Thursday")</f>
        <v>Pick ups Thursday</v>
      </c>
    </row>
    <row r="35">
      <c r="A35" s="3" t="str">
        <f>IFERROR(__xludf.DUMMYFUNCTION("""COMPUTED_VALUE"""),"Terripin Farms Winter")</f>
        <v>Terripin Farms Winter</v>
      </c>
      <c r="B35" s="3" t="str">
        <f>IFERROR(__xludf.DUMMYFUNCTION("""COMPUTED_VALUE"""),"Farm Stand")</f>
        <v>Farm Stand</v>
      </c>
      <c r="C35" s="3" t="b">
        <f>IFERROR(__xludf.DUMMYFUNCTION("""COMPUTED_VALUE"""),TRUE)</f>
        <v>1</v>
      </c>
      <c r="D35" s="3" t="str">
        <f>IFERROR(__xludf.DUMMYFUNCTION("""COMPUTED_VALUE"""),"39.97691072937544, -91.35824725073712")</f>
        <v>39.97691072937544, -91.35824725073712</v>
      </c>
      <c r="E35" s="3" t="str">
        <f>IFERROR(__xludf.DUMMYFUNCTION("""COMPUTED_VALUE"""),"3729 N 36th")</f>
        <v>3729 N 36th</v>
      </c>
      <c r="F35" s="3"/>
      <c r="G35" s="3" t="str">
        <f>IFERROR(__xludf.DUMMYFUNCTION("""COMPUTED_VALUE"""),"Quincy")</f>
        <v>Quincy</v>
      </c>
      <c r="H35" s="3" t="str">
        <f>IFERROR(__xludf.DUMMYFUNCTION("""COMPUTED_VALUE"""),"IL")</f>
        <v>IL</v>
      </c>
      <c r="I35" s="3">
        <f>IFERROR(__xludf.DUMMYFUNCTION("""COMPUTED_VALUE"""),62305.0)</f>
        <v>62305</v>
      </c>
      <c r="J35" s="7">
        <f>IFERROR(__xludf.DUMMYFUNCTION("""COMPUTED_VALUE"""),45962.0)</f>
        <v>45962</v>
      </c>
      <c r="K35" s="7">
        <f>IFERROR(__xludf.DUMMYFUNCTION("""COMPUTED_VALUE"""),46143.0)</f>
        <v>46143</v>
      </c>
      <c r="L35" s="3" t="str">
        <f>IFERROR(__xludf.DUMMYFUNCTION("""COMPUTED_VALUE"""),"Friday, Saturday, Sunday")</f>
        <v>Friday, Saturday, Sunday</v>
      </c>
      <c r="M35" s="3" t="str">
        <f>IFERROR(__xludf.DUMMYFUNCTION("""COMPUTED_VALUE"""),"10:00 AM - 05:00 PM 10:00 AM - 05:00 PM 10:00 AM - 04:00 PM")</f>
        <v>10:00 AM - 05:00 PM 10:00 AM - 05:00 PM 10:00 AM - 04:00 PM</v>
      </c>
      <c r="N35" s="3" t="str">
        <f>IFERROR(__xludf.DUMMYFUNCTION("""COMPUTED_VALUE"""),"Weekly")</f>
        <v>Weekly</v>
      </c>
      <c r="O35" s="6" t="str">
        <f>IFERROR(__xludf.DUMMYFUNCTION("""COMPUTED_VALUE"""),"http://www.terripinfarms.net")</f>
        <v>http://www.terripinfarms.net</v>
      </c>
      <c r="P35" s="3"/>
      <c r="Q35" s="6" t="str">
        <f>IFERROR(__xludf.DUMMYFUNCTION("""COMPUTED_VALUE"""),"http://www.facebook.com/TerripinFarms")</f>
        <v>http://www.facebook.com/TerripinFarms</v>
      </c>
      <c r="R35" s="3" t="str">
        <f>IFERROR(__xludf.DUMMYFUNCTION("""COMPUTED_VALUE"""),"Central IL")</f>
        <v>Central IL</v>
      </c>
      <c r="S35" s="3"/>
    </row>
    <row r="36">
      <c r="A36" s="3" t="str">
        <f>IFERROR(__xludf.DUMMYFUNCTION("""COMPUTED_VALUE"""),"Theodora Farms Farm Store")</f>
        <v>Theodora Farms Farm Store</v>
      </c>
      <c r="B36" s="3" t="str">
        <f>IFERROR(__xludf.DUMMYFUNCTION("""COMPUTED_VALUE"""),"Farm Stand")</f>
        <v>Farm Stand</v>
      </c>
      <c r="C36" s="3" t="b">
        <f>IFERROR(__xludf.DUMMYFUNCTION("""COMPUTED_VALUE"""),TRUE)</f>
        <v>1</v>
      </c>
      <c r="D36" s="3" t="str">
        <f>IFERROR(__xludf.DUMMYFUNCTION("""COMPUTED_VALUE"""),"38.94125095722424, -90.17911240348779")</f>
        <v>38.94125095722424, -90.17911240348779</v>
      </c>
      <c r="E36" s="3" t="str">
        <f>IFERROR(__xludf.DUMMYFUNCTION("""COMPUTED_VALUE"""),"4835 N Alby St")</f>
        <v>4835 N Alby St</v>
      </c>
      <c r="F36" s="3"/>
      <c r="G36" s="3" t="str">
        <f>IFERROR(__xludf.DUMMYFUNCTION("""COMPUTED_VALUE"""),"Godfrey")</f>
        <v>Godfrey</v>
      </c>
      <c r="H36" s="3" t="str">
        <f>IFERROR(__xludf.DUMMYFUNCTION("""COMPUTED_VALUE"""),"IL")</f>
        <v>IL</v>
      </c>
      <c r="I36" s="3">
        <f>IFERROR(__xludf.DUMMYFUNCTION("""COMPUTED_VALUE"""),62035.0)</f>
        <v>62035</v>
      </c>
      <c r="J36" s="7">
        <f>IFERROR(__xludf.DUMMYFUNCTION("""COMPUTED_VALUE"""),45782.0)</f>
        <v>45782</v>
      </c>
      <c r="K36" s="7">
        <f>IFERROR(__xludf.DUMMYFUNCTION("""COMPUTED_VALUE"""),45983.0)</f>
        <v>45983</v>
      </c>
      <c r="L36" s="3" t="str">
        <f>IFERROR(__xludf.DUMMYFUNCTION("""COMPUTED_VALUE"""),"Monday, Tuesday, Wednesday, Thursday, Friday, Saturday")</f>
        <v>Monday, Tuesday, Wednesday, Thursday, Friday, Saturday</v>
      </c>
      <c r="M36" s="3" t="str">
        <f>IFERROR(__xludf.DUMMYFUNCTION("""COMPUTED_VALUE"""),"10:00 AM - 06:00 PM 10:00 AM - 06:00 PM 10:00 AM - 06:00 PM 10:00 AM - 06:00 PM 10:00 AM - 06:00 PM 10:00 AM - 06:00 PM")</f>
        <v>10:00 AM - 06:00 PM 10:00 AM - 06:00 PM 10:00 AM - 06:00 PM 10:00 AM - 06:00 PM 10:00 AM - 06:00 PM 10:00 AM - 06:00 PM</v>
      </c>
      <c r="N36" s="3" t="str">
        <f>IFERROR(__xludf.DUMMYFUNCTION("""COMPUTED_VALUE"""),"Weekly")</f>
        <v>Weekly</v>
      </c>
      <c r="O36" s="6" t="str">
        <f>IFERROR(__xludf.DUMMYFUNCTION("""COMPUTED_VALUE"""),"http://www.theodorafarms.com")</f>
        <v>http://www.theodorafarms.com</v>
      </c>
      <c r="P36" s="6" t="str">
        <f>IFERROR(__xludf.DUMMYFUNCTION("""COMPUTED_VALUE"""),"http://www.instagram.com/TheodoraFarms")</f>
        <v>http://www.instagram.com/TheodoraFarms</v>
      </c>
      <c r="Q36" s="6" t="str">
        <f>IFERROR(__xludf.DUMMYFUNCTION("""COMPUTED_VALUE"""),"http://www.facebook.com/theodorafarms")</f>
        <v>http://www.facebook.com/theodorafarms</v>
      </c>
      <c r="R36" s="3" t="str">
        <f>IFERROR(__xludf.DUMMYFUNCTION("""COMPUTED_VALUE"""),"Southern IL")</f>
        <v>Southern IL</v>
      </c>
      <c r="S36" s="3"/>
    </row>
    <row r="37">
      <c r="A37" s="3" t="str">
        <f>IFERROR(__xludf.DUMMYFUNCTION("""COMPUTED_VALUE"""),"Top Box Foods")</f>
        <v>Top Box Foods</v>
      </c>
      <c r="B37" s="3" t="str">
        <f>IFERROR(__xludf.DUMMYFUNCTION("""COMPUTED_VALUE"""),"Grocery Delivery Service")</f>
        <v>Grocery Delivery Service</v>
      </c>
      <c r="C37" s="3" t="b">
        <f>IFERROR(__xludf.DUMMYFUNCTION("""COMPUTED_VALUE"""),TRUE)</f>
        <v>1</v>
      </c>
      <c r="D37" s="3" t="str">
        <f>IFERROR(__xludf.DUMMYFUNCTION("""COMPUTED_VALUE"""),"41.888593273031226, -87.6353961586826")</f>
        <v>41.888593273031226, -87.6353961586826</v>
      </c>
      <c r="E37" s="3"/>
      <c r="F37" s="3"/>
      <c r="G37" s="3"/>
      <c r="H37" s="3"/>
      <c r="I37" s="3"/>
      <c r="J37" s="7">
        <f>IFERROR(__xludf.DUMMYFUNCTION("""COMPUTED_VALUE"""),45658.0)</f>
        <v>45658</v>
      </c>
      <c r="K37" s="7">
        <f>IFERROR(__xludf.DUMMYFUNCTION("""COMPUTED_VALUE"""),46022.0)</f>
        <v>46022</v>
      </c>
      <c r="L37" s="3" t="str">
        <f>IFERROR(__xludf.DUMMYFUNCTION("""COMPUTED_VALUE"""),"Monday, Tuesday, Wednesday, Thursday, Friday")</f>
        <v>Monday, Tuesday, Wednesday, Thursday, Friday</v>
      </c>
      <c r="M37" s="3"/>
      <c r="N37" s="3" t="str">
        <f>IFERROR(__xludf.DUMMYFUNCTION("""COMPUTED_VALUE"""),"Weekly")</f>
        <v>Weekly</v>
      </c>
      <c r="O37" s="6" t="str">
        <f>IFERROR(__xludf.DUMMYFUNCTION("""COMPUTED_VALUE"""),"http://www.topboxfoods.com")</f>
        <v>http://www.topboxfoods.com</v>
      </c>
      <c r="P37" s="6" t="str">
        <f>IFERROR(__xludf.DUMMYFUNCTION("""COMPUTED_VALUE"""),"http://www.instagram.com/topboxfoods")</f>
        <v>http://www.instagram.com/topboxfoods</v>
      </c>
      <c r="Q37" s="6" t="str">
        <f>IFERROR(__xludf.DUMMYFUNCTION("""COMPUTED_VALUE"""),"http://www.facebook.com/TopBoxFoods/")</f>
        <v>http://www.facebook.com/TopBoxFoods/</v>
      </c>
      <c r="R37" s="3" t="str">
        <f>IFERROR(__xludf.DUMMYFUNCTION("""COMPUTED_VALUE"""),"Chicago")</f>
        <v>Chicago</v>
      </c>
      <c r="S37" s="3" t="str">
        <f>IFERROR(__xludf.DUMMYFUNCTION("""COMPUTED_VALUE"""),"How It Works for Customers: Link Match at Top Box Market
-Shop online at topboxfoods.com or with support from our Customer Service team at 312-527-7890. When you place your first order, you’ll create an account on our website where you can view your Link "&amp;"Match and order history. 
-Add the products you’d like to order to your cart. At checkout, click Link Match to redeem the amount you’d like to save on the order. When you redeem, your Link Match dollars become a code valid for any products with fresh frui"&amp;"ts or vegetables. Click “Discounts” to apply your new code to your order. Link Match can be redeemed in different amounts from $12.50 to $60, so you can use the right amount for the eligible products in your order.
-Your order will be delivered to your ho"&amp;"me on your chosen delivery day, so you can enjoy nutritious, fresh fruits and vegetables!")</f>
        <v>How It Works for Customers: Link Match at Top Box Market
-Shop online at topboxfoods.com or with support from our Customer Service team at 312-527-7890. When you place your first order, you’ll create an account on our website where you can view your Link Match and order history. 
-Add the products you’d like to order to your cart. At checkout, click Link Match to redeem the amount you’d like to save on the order. When you redeem, your Link Match dollars become a code valid for any products with fresh fruits or vegetables. Click “Discounts” to apply your new code to your order. Link Match can be redeemed in different amounts from $12.50 to $60, so you can use the right amount for the eligible products in your order.
-Your order will be delivered to your home on your chosen delivery day, so you can enjoy nutritious, fresh fruits and vegetables!</v>
      </c>
    </row>
    <row r="38">
      <c r="A38" s="3" t="str">
        <f>IFERROR(__xludf.DUMMYFUNCTION("""COMPUTED_VALUE"""),"Twin City Farmers Market")</f>
        <v>Twin City Farmers Market</v>
      </c>
      <c r="B38" s="3" t="str">
        <f>IFERROR(__xludf.DUMMYFUNCTION("""COMPUTED_VALUE"""),"Farmers Market")</f>
        <v>Farmers Market</v>
      </c>
      <c r="C38" s="3" t="b">
        <f>IFERROR(__xludf.DUMMYFUNCTION("""COMPUTED_VALUE"""),TRUE)</f>
        <v>1</v>
      </c>
      <c r="D38" s="3" t="str">
        <f>IFERROR(__xludf.DUMMYFUNCTION("""COMPUTED_VALUE"""),"41.78735746625957, -89.69701810336257")</f>
        <v>41.78735746625957, -89.69701810336257</v>
      </c>
      <c r="E38" s="3" t="str">
        <f>IFERROR(__xludf.DUMMYFUNCTION("""COMPUTED_VALUE"""),"106 Ave A")</f>
        <v>106 Ave A</v>
      </c>
      <c r="F38" s="3"/>
      <c r="G38" s="3" t="str">
        <f>IFERROR(__xludf.DUMMYFUNCTION("""COMPUTED_VALUE"""),"Sterling")</f>
        <v>Sterling</v>
      </c>
      <c r="H38" s="3" t="str">
        <f>IFERROR(__xludf.DUMMYFUNCTION("""COMPUTED_VALUE"""),"IL")</f>
        <v>IL</v>
      </c>
      <c r="I38" s="3">
        <f>IFERROR(__xludf.DUMMYFUNCTION("""COMPUTED_VALUE"""),61081.0)</f>
        <v>61081</v>
      </c>
      <c r="J38" s="7">
        <f>IFERROR(__xludf.DUMMYFUNCTION("""COMPUTED_VALUE"""),45658.0)</f>
        <v>45658</v>
      </c>
      <c r="K38" s="7">
        <f>IFERROR(__xludf.DUMMYFUNCTION("""COMPUTED_VALUE"""),46022.0)</f>
        <v>46022</v>
      </c>
      <c r="L38" s="3" t="str">
        <f>IFERROR(__xludf.DUMMYFUNCTION("""COMPUTED_VALUE"""),"Saturday")</f>
        <v>Saturday</v>
      </c>
      <c r="M38" s="3" t="str">
        <f>IFERROR(__xludf.DUMMYFUNCTION("""COMPUTED_VALUE"""),"08:00 AM - 12:00 PM")</f>
        <v>08:00 AM - 12:00 PM</v>
      </c>
      <c r="N38" s="3" t="str">
        <f>IFERROR(__xludf.DUMMYFUNCTION("""COMPUTED_VALUE"""),"Weekly")</f>
        <v>Weekly</v>
      </c>
      <c r="O38" s="6" t="str">
        <f>IFERROR(__xludf.DUMMYFUNCTION("""COMPUTED_VALUE"""),"https://twincityfarmersmarket.com/")</f>
        <v>https://twincityfarmersmarket.com/</v>
      </c>
      <c r="P38" s="6" t="str">
        <f>IFERROR(__xludf.DUMMYFUNCTION("""COMPUTED_VALUE"""),"http://www.instagram.com/twincitymarket/")</f>
        <v>http://www.instagram.com/twincitymarket/</v>
      </c>
      <c r="Q38" s="6" t="str">
        <f>IFERROR(__xludf.DUMMYFUNCTION("""COMPUTED_VALUE"""),"http://www.facebook.com/twincityfarmersmarket")</f>
        <v>http://www.facebook.com/twincityfarmersmarket</v>
      </c>
      <c r="R38" s="3" t="str">
        <f>IFERROR(__xludf.DUMMYFUNCTION("""COMPUTED_VALUE"""),"Northern IL")</f>
        <v>Northern IL</v>
      </c>
      <c r="S38" s="3"/>
    </row>
    <row r="39">
      <c r="A39" s="3" t="str">
        <f>IFERROR(__xludf.DUMMYFUNCTION("""COMPUTED_VALUE"""),"Urban Growers Collective Collective Supported Agriculture/CSA")</f>
        <v>Urban Growers Collective Collective Supported Agriculture/CSA</v>
      </c>
      <c r="B39" s="3" t="str">
        <f>IFERROR(__xludf.DUMMYFUNCTION("""COMPUTED_VALUE"""),"CSA")</f>
        <v>CSA</v>
      </c>
      <c r="C39" s="3" t="b">
        <f>IFERROR(__xludf.DUMMYFUNCTION("""COMPUTED_VALUE"""),TRUE)</f>
        <v>1</v>
      </c>
      <c r="D39" s="3" t="str">
        <f>IFERROR(__xludf.DUMMYFUNCTION("""COMPUTED_VALUE"""),"41.73371046001023, -87.54061954413822")</f>
        <v>41.73371046001023, -87.54061954413822</v>
      </c>
      <c r="E39" s="3"/>
      <c r="F39" s="3"/>
      <c r="G39" s="3"/>
      <c r="H39" s="3"/>
      <c r="I39" s="3"/>
      <c r="J39" s="7">
        <f>IFERROR(__xludf.DUMMYFUNCTION("""COMPUTED_VALUE"""),45759.0)</f>
        <v>45759</v>
      </c>
      <c r="K39" s="7">
        <f>IFERROR(__xludf.DUMMYFUNCTION("""COMPUTED_VALUE"""),45987.0)</f>
        <v>45987</v>
      </c>
      <c r="L39" s="3" t="str">
        <f>IFERROR(__xludf.DUMMYFUNCTION("""COMPUTED_VALUE"""),"Wednesday, Saturday")</f>
        <v>Wednesday, Saturday</v>
      </c>
      <c r="M39" s="3"/>
      <c r="N39" s="3" t="str">
        <f>IFERROR(__xludf.DUMMYFUNCTION("""COMPUTED_VALUE"""),"Weekly")</f>
        <v>Weekly</v>
      </c>
      <c r="O39" s="6" t="str">
        <f>IFERROR(__xludf.DUMMYFUNCTION("""COMPUTED_VALUE"""),"http://www.urbangrowerscollective.org/chicago-local-csa")</f>
        <v>http://www.urbangrowerscollective.org/chicago-local-csa</v>
      </c>
      <c r="P39" s="6" t="str">
        <f>IFERROR(__xludf.DUMMYFUNCTION("""COMPUTED_VALUE"""),"http://www.instagram.com/urbangrowerscollective/")</f>
        <v>http://www.instagram.com/urbangrowerscollective/</v>
      </c>
      <c r="Q39" s="6" t="str">
        <f>IFERROR(__xludf.DUMMYFUNCTION("""COMPUTED_VALUE"""),"http://www.facebook.com/urbangrowerscollective/")</f>
        <v>http://www.facebook.com/urbangrowerscollective/</v>
      </c>
      <c r="R39" s="3" t="str">
        <f>IFERROR(__xludf.DUMMYFUNCTION("""COMPUTED_VALUE"""),"Chicago")</f>
        <v>Chicago</v>
      </c>
      <c r="S39" s="3"/>
    </row>
    <row r="40">
      <c r="A40" s="3" t="str">
        <f>IFERROR(__xludf.DUMMYFUNCTION("""COMPUTED_VALUE"""),"Vine Street Market at O'Fallon Station")</f>
        <v>Vine Street Market at O'Fallon Station</v>
      </c>
      <c r="B40" s="3" t="str">
        <f>IFERROR(__xludf.DUMMYFUNCTION("""COMPUTED_VALUE"""),"Farmers Market")</f>
        <v>Farmers Market</v>
      </c>
      <c r="C40" s="3" t="b">
        <f>IFERROR(__xludf.DUMMYFUNCTION("""COMPUTED_VALUE"""),TRUE)</f>
        <v>1</v>
      </c>
      <c r="D40" s="3" t="str">
        <f>IFERROR(__xludf.DUMMYFUNCTION("""COMPUTED_VALUE"""),"38.59167905129432, -89.90904227857294")</f>
        <v>38.59167905129432, -89.90904227857294</v>
      </c>
      <c r="E40" s="3" t="str">
        <f>IFERROR(__xludf.DUMMYFUNCTION("""COMPUTED_VALUE"""),"212 E 1st St")</f>
        <v>212 E 1st St</v>
      </c>
      <c r="F40" s="3"/>
      <c r="G40" s="3" t="str">
        <f>IFERROR(__xludf.DUMMYFUNCTION("""COMPUTED_VALUE"""),"O'Fallon")</f>
        <v>O'Fallon</v>
      </c>
      <c r="H40" s="3" t="str">
        <f>IFERROR(__xludf.DUMMYFUNCTION("""COMPUTED_VALUE"""),"IL")</f>
        <v>IL</v>
      </c>
      <c r="I40" s="3">
        <f>IFERROR(__xludf.DUMMYFUNCTION("""COMPUTED_VALUE"""),62269.0)</f>
        <v>62269</v>
      </c>
      <c r="J40" s="7">
        <f>IFERROR(__xludf.DUMMYFUNCTION("""COMPUTED_VALUE"""),45717.0)</f>
        <v>45717</v>
      </c>
      <c r="K40" s="7">
        <f>IFERROR(__xludf.DUMMYFUNCTION("""COMPUTED_VALUE"""),45948.0)</f>
        <v>45948</v>
      </c>
      <c r="L40" s="3" t="str">
        <f>IFERROR(__xludf.DUMMYFUNCTION("""COMPUTED_VALUE"""),"Saturday")</f>
        <v>Saturday</v>
      </c>
      <c r="M40" s="3" t="str">
        <f>IFERROR(__xludf.DUMMYFUNCTION("""COMPUTED_VALUE"""),"08:00 AM - 12:00 PM")</f>
        <v>08:00 AM - 12:00 PM</v>
      </c>
      <c r="N40" s="3" t="str">
        <f>IFERROR(__xludf.DUMMYFUNCTION("""COMPUTED_VALUE"""),"Weekly")</f>
        <v>Weekly</v>
      </c>
      <c r="O40" s="6" t="str">
        <f>IFERROR(__xludf.DUMMYFUNCTION("""COMPUTED_VALUE"""),"https://ofallonparksandrec.com/vine-street-market/")</f>
        <v>https://ofallonparksandrec.com/vine-street-market/</v>
      </c>
      <c r="P40" s="6" t="str">
        <f>IFERROR(__xludf.DUMMYFUNCTION("""COMPUTED_VALUE"""),"http://www.instagram.com/vinestreetmarketofallon/")</f>
        <v>http://www.instagram.com/vinestreetmarketofallon/</v>
      </c>
      <c r="Q40" s="6" t="str">
        <f>IFERROR(__xludf.DUMMYFUNCTION("""COMPUTED_VALUE"""),"http://www.facebook.com/vinestreetmarketofallon")</f>
        <v>http://www.facebook.com/vinestreetmarketofallon</v>
      </c>
      <c r="R40" s="3" t="str">
        <f>IFERROR(__xludf.DUMMYFUNCTION("""COMPUTED_VALUE"""),"Southern IL")</f>
        <v>Southern IL</v>
      </c>
      <c r="S40" s="3" t="str">
        <f>IFERROR(__xludf.DUMMYFUNCTION("""COMPUTED_VALUE"""),"Holiday markets: Nov 22, Dec 13")</f>
        <v>Holiday markets: Nov 22, Dec 13</v>
      </c>
    </row>
    <row r="41">
      <c r="A41" s="3" t="str">
        <f>IFERROR(__xludf.DUMMYFUNCTION("""COMPUTED_VALUE"""),"Warsaw Mercantile")</f>
        <v>Warsaw Mercantile</v>
      </c>
      <c r="B41" s="3" t="str">
        <f>IFERROR(__xludf.DUMMYFUNCTION("""COMPUTED_VALUE"""),"Farmers Market")</f>
        <v>Farmers Market</v>
      </c>
      <c r="C41" s="3" t="b">
        <f>IFERROR(__xludf.DUMMYFUNCTION("""COMPUTED_VALUE"""),TRUE)</f>
        <v>1</v>
      </c>
      <c r="D41" s="3" t="str">
        <f>IFERROR(__xludf.DUMMYFUNCTION("""COMPUTED_VALUE"""),"40.359852552641335, -91.43650928808368")</f>
        <v>40.359852552641335, -91.43650928808368</v>
      </c>
      <c r="E41" s="3" t="str">
        <f>IFERROR(__xludf.DUMMYFUNCTION("""COMPUTED_VALUE"""),"412 Main St")</f>
        <v>412 Main St</v>
      </c>
      <c r="F41" s="3"/>
      <c r="G41" s="3" t="str">
        <f>IFERROR(__xludf.DUMMYFUNCTION("""COMPUTED_VALUE"""),"Warsaw")</f>
        <v>Warsaw</v>
      </c>
      <c r="H41" s="3" t="str">
        <f>IFERROR(__xludf.DUMMYFUNCTION("""COMPUTED_VALUE"""),"IL")</f>
        <v>IL</v>
      </c>
      <c r="I41" s="3">
        <f>IFERROR(__xludf.DUMMYFUNCTION("""COMPUTED_VALUE"""),62379.0)</f>
        <v>62379</v>
      </c>
      <c r="J41" s="7">
        <f>IFERROR(__xludf.DUMMYFUNCTION("""COMPUTED_VALUE"""),45778.0)</f>
        <v>45778</v>
      </c>
      <c r="K41" s="7">
        <f>IFERROR(__xludf.DUMMYFUNCTION("""COMPUTED_VALUE"""),46022.0)</f>
        <v>46022</v>
      </c>
      <c r="L41" s="3" t="str">
        <f>IFERROR(__xludf.DUMMYFUNCTION("""COMPUTED_VALUE"""),"Tuesday, Wednesday, Thursday, Friday, Saturday")</f>
        <v>Tuesday, Wednesday, Thursday, Friday, Saturday</v>
      </c>
      <c r="M41" s="3" t="str">
        <f>IFERROR(__xludf.DUMMYFUNCTION("""COMPUTED_VALUE"""),"10:00 AM - 06:00 PM 10:00 AM - 06:00 PM 10:00 AM - 06:00 PM 10:00 AM - 06:00 PM 10:00 AM - 03:00 PM")</f>
        <v>10:00 AM - 06:00 PM 10:00 AM - 06:00 PM 10:00 AM - 06:00 PM 10:00 AM - 06:00 PM 10:00 AM - 03:00 PM</v>
      </c>
      <c r="N41" s="3" t="str">
        <f>IFERROR(__xludf.DUMMYFUNCTION("""COMPUTED_VALUE"""),"Weekly")</f>
        <v>Weekly</v>
      </c>
      <c r="O41" s="3"/>
      <c r="P41" s="3"/>
      <c r="Q41" s="6" t="str">
        <f>IFERROR(__xludf.DUMMYFUNCTION("""COMPUTED_VALUE"""),"http://www.facebook.com/WarsawMercantile")</f>
        <v>http://www.facebook.com/WarsawMercantile</v>
      </c>
      <c r="R41" s="3" t="str">
        <f>IFERROR(__xludf.DUMMYFUNCTION("""COMPUTED_VALUE"""),"Central IL")</f>
        <v>Central IL</v>
      </c>
      <c r="S41" s="3"/>
    </row>
    <row r="42">
      <c r="A42" s="3" t="str">
        <f>IFERROR(__xludf.DUMMYFUNCTION("""COMPUTED_VALUE"""),"Woodstock Farmers Market - Winter")</f>
        <v>Woodstock Farmers Market - Winter</v>
      </c>
      <c r="B42" s="3" t="str">
        <f>IFERROR(__xludf.DUMMYFUNCTION("""COMPUTED_VALUE"""),"Winter Market")</f>
        <v>Winter Market</v>
      </c>
      <c r="C42" s="3" t="b">
        <f>IFERROR(__xludf.DUMMYFUNCTION("""COMPUTED_VALUE"""),TRUE)</f>
        <v>1</v>
      </c>
      <c r="D42" s="3" t="str">
        <f>IFERROR(__xludf.DUMMYFUNCTION("""COMPUTED_VALUE"""),"42.25663835540999, -88.47970550380667")</f>
        <v>42.25663835540999, -88.47970550380667</v>
      </c>
      <c r="E42" s="3" t="str">
        <f>IFERROR(__xludf.DUMMYFUNCTION("""COMPUTED_VALUE"""),"14510 IL-176")</f>
        <v>14510 IL-176</v>
      </c>
      <c r="F42" s="3"/>
      <c r="G42" s="3" t="str">
        <f>IFERROR(__xludf.DUMMYFUNCTION("""COMPUTED_VALUE"""),"Woodstock")</f>
        <v>Woodstock</v>
      </c>
      <c r="H42" s="3" t="str">
        <f>IFERROR(__xludf.DUMMYFUNCTION("""COMPUTED_VALUE"""),"IL")</f>
        <v>IL</v>
      </c>
      <c r="I42" s="3">
        <f>IFERROR(__xludf.DUMMYFUNCTION("""COMPUTED_VALUE"""),60098.0)</f>
        <v>60098</v>
      </c>
      <c r="J42" s="7">
        <f>IFERROR(__xludf.DUMMYFUNCTION("""COMPUTED_VALUE"""),45969.0)</f>
        <v>45969</v>
      </c>
      <c r="K42" s="7">
        <f>IFERROR(__xludf.DUMMYFUNCTION("""COMPUTED_VALUE"""),46137.0)</f>
        <v>46137</v>
      </c>
      <c r="L42" s="3" t="str">
        <f>IFERROR(__xludf.DUMMYFUNCTION("""COMPUTED_VALUE"""),"Saturday")</f>
        <v>Saturday</v>
      </c>
      <c r="M42" s="3" t="str">
        <f>IFERROR(__xludf.DUMMYFUNCTION("""COMPUTED_VALUE"""),"09:00 AM - 01:00 PM")</f>
        <v>09:00 AM - 01:00 PM</v>
      </c>
      <c r="N42" s="3" t="str">
        <f>IFERROR(__xludf.DUMMYFUNCTION("""COMPUTED_VALUE"""),"Every other week")</f>
        <v>Every other week</v>
      </c>
      <c r="O42" s="6" t="str">
        <f>IFERROR(__xludf.DUMMYFUNCTION("""COMPUTED_VALUE"""),"https://woodstockfarmersmarket.org/")</f>
        <v>https://woodstockfarmersmarket.org/</v>
      </c>
      <c r="P42" s="6" t="str">
        <f>IFERROR(__xludf.DUMMYFUNCTION("""COMPUTED_VALUE"""),"http://www.instagram.com/woodstockfarmersmkt")</f>
        <v>http://www.instagram.com/woodstockfarmersmkt</v>
      </c>
      <c r="Q42" s="6" t="str">
        <f>IFERROR(__xludf.DUMMYFUNCTION("""COMPUTED_VALUE"""),"http://www.facebook.com/woodstockfarmersmarket")</f>
        <v>http://www.facebook.com/woodstockfarmersmarket</v>
      </c>
      <c r="R42" s="3" t="str">
        <f>IFERROR(__xludf.DUMMYFUNCTION("""COMPUTED_VALUE"""),"Northern IL")</f>
        <v>Northern IL</v>
      </c>
      <c r="S42" s="3" t="str">
        <f>IFERROR(__xludf.DUMMYFUNCTION("""COMPUTED_VALUE"""),"Nov 8, 15, 22 | Dec 6, 13, 20 | Jan 3, 17, 31 | Feb 14, 28 | Mar 14 , 28 | Apr 11, 25")</f>
        <v>Nov 8, 15, 22 | Dec 6, 13, 20 | Jan 3, 17, 31 | Feb 14, 28 | Mar 14 , 28 | Apr 11, 25</v>
      </c>
    </row>
    <row r="43">
      <c r="A43" s="3" t="str">
        <f>IFERROR(__xludf.DUMMYFUNCTION("""COMPUTED_VALUE"""),"Z-Farm Stand")</f>
        <v>Z-Farm Stand</v>
      </c>
      <c r="B43" s="3" t="str">
        <f>IFERROR(__xludf.DUMMYFUNCTION("""COMPUTED_VALUE"""),"Farm Stand")</f>
        <v>Farm Stand</v>
      </c>
      <c r="C43" s="3" t="b">
        <f>IFERROR(__xludf.DUMMYFUNCTION("""COMPUTED_VALUE"""),TRUE)</f>
        <v>1</v>
      </c>
      <c r="D43" s="3" t="str">
        <f>IFERROR(__xludf.DUMMYFUNCTION("""COMPUTED_VALUE"""),"41.53533343695412, -87.58825240417386")</f>
        <v>41.53533343695412, -87.58825240417386</v>
      </c>
      <c r="E43" s="3" t="str">
        <f>IFERROR(__xludf.DUMMYFUNCTION("""COMPUTED_VALUE"""),"1001 Glenwood Dyer Rd")</f>
        <v>1001 Glenwood Dyer Rd</v>
      </c>
      <c r="F43" s="3"/>
      <c r="G43" s="3" t="str">
        <f>IFERROR(__xludf.DUMMYFUNCTION("""COMPUTED_VALUE"""),"Chicago Heights")</f>
        <v>Chicago Heights</v>
      </c>
      <c r="H43" s="3" t="str">
        <f>IFERROR(__xludf.DUMMYFUNCTION("""COMPUTED_VALUE"""),"IL")</f>
        <v>IL</v>
      </c>
      <c r="I43" s="3">
        <f>IFERROR(__xludf.DUMMYFUNCTION("""COMPUTED_VALUE"""),60411.0)</f>
        <v>60411</v>
      </c>
      <c r="J43" s="7">
        <f>IFERROR(__xludf.DUMMYFUNCTION("""COMPUTED_VALUE"""),45920.0)</f>
        <v>45920</v>
      </c>
      <c r="K43" s="7">
        <f>IFERROR(__xludf.DUMMYFUNCTION("""COMPUTED_VALUE"""),45984.0)</f>
        <v>45984</v>
      </c>
      <c r="L43" s="3" t="str">
        <f>IFERROR(__xludf.DUMMYFUNCTION("""COMPUTED_VALUE"""),"Saturday, Sunday")</f>
        <v>Saturday, Sunday</v>
      </c>
      <c r="M43" s="3" t="str">
        <f>IFERROR(__xludf.DUMMYFUNCTION("""COMPUTED_VALUE"""),"09:00 AM - 04:00 PM")</f>
        <v>09:00 AM - 04:00 PM</v>
      </c>
      <c r="N43" s="3" t="str">
        <f>IFERROR(__xludf.DUMMYFUNCTION("""COMPUTED_VALUE"""),"Weekly")</f>
        <v>Weekly</v>
      </c>
      <c r="O43" s="6" t="str">
        <f>IFERROR(__xludf.DUMMYFUNCTION("""COMPUTED_VALUE"""),"http://www.urbangrowerscollective.org/")</f>
        <v>http://www.urbangrowerscollective.org/</v>
      </c>
      <c r="P43" s="6" t="str">
        <f>IFERROR(__xludf.DUMMYFUNCTION("""COMPUTED_VALUE"""),"http://www.instagram.com/urbangrowerscollective/")</f>
        <v>http://www.instagram.com/urbangrowerscollective/</v>
      </c>
      <c r="Q43" s="6" t="str">
        <f>IFERROR(__xludf.DUMMYFUNCTION("""COMPUTED_VALUE"""),"http://www.facebook.com/urbangrowerscollective/")</f>
        <v>http://www.facebook.com/urbangrowerscollective/</v>
      </c>
      <c r="R43" s="3" t="str">
        <f>IFERROR(__xludf.DUMMYFUNCTION("""COMPUTED_VALUE"""),"Chicago Suburbs")</f>
        <v>Chicago Suburbs</v>
      </c>
      <c r="S43" s="3"/>
    </row>
  </sheetData>
  <conditionalFormatting sqref="K1">
    <cfRule type="expression" dxfId="0" priority="1">
      <formula>AND(ISNUMBER(K1),TRUNC(K1)&gt;TODAY())</formula>
    </cfRule>
  </conditionalFormatting>
  <hyperlinks>
    <hyperlink r:id="rId1" ref="O2"/>
    <hyperlink r:id="rId2" ref="P2"/>
    <hyperlink r:id="rId3" ref="Q2"/>
    <hyperlink r:id="rId4" ref="P3"/>
    <hyperlink r:id="rId5" ref="Q3"/>
    <hyperlink r:id="rId6" ref="O4"/>
    <hyperlink r:id="rId7" ref="P4"/>
    <hyperlink r:id="rId8" ref="Q4"/>
    <hyperlink r:id="rId9" ref="O5"/>
    <hyperlink r:id="rId10" ref="P5"/>
    <hyperlink r:id="rId11" ref="Q5"/>
    <hyperlink r:id="rId12" ref="O6"/>
    <hyperlink r:id="rId13" ref="P6"/>
    <hyperlink r:id="rId14" ref="Q6"/>
    <hyperlink r:id="rId15" ref="O7"/>
    <hyperlink r:id="rId16" ref="P7"/>
    <hyperlink r:id="rId17" ref="Q7"/>
    <hyperlink r:id="rId18" ref="Q8"/>
    <hyperlink r:id="rId19" ref="Q10"/>
    <hyperlink r:id="rId20" ref="O11"/>
    <hyperlink r:id="rId21" ref="P11"/>
    <hyperlink r:id="rId22" ref="Q11"/>
    <hyperlink r:id="rId23" ref="O12"/>
    <hyperlink r:id="rId24" ref="P12"/>
    <hyperlink r:id="rId25" ref="O13"/>
    <hyperlink r:id="rId26" ref="P13"/>
    <hyperlink r:id="rId27" ref="Q13"/>
    <hyperlink r:id="rId28" ref="O14"/>
    <hyperlink r:id="rId29" ref="Q14"/>
    <hyperlink r:id="rId30" ref="O15"/>
    <hyperlink r:id="rId31" ref="P15"/>
    <hyperlink r:id="rId32" ref="Q15"/>
    <hyperlink r:id="rId33" ref="O16"/>
    <hyperlink r:id="rId34" ref="P16"/>
    <hyperlink r:id="rId35" ref="Q16"/>
    <hyperlink r:id="rId36" ref="O17"/>
    <hyperlink r:id="rId37" ref="P17"/>
    <hyperlink r:id="rId38" ref="Q17"/>
    <hyperlink r:id="rId39" ref="O18"/>
    <hyperlink r:id="rId40" ref="P18"/>
    <hyperlink r:id="rId41" ref="Q18"/>
    <hyperlink r:id="rId42" ref="O19"/>
    <hyperlink r:id="rId43" ref="P19"/>
    <hyperlink r:id="rId44" ref="Q19"/>
    <hyperlink r:id="rId45" ref="O20"/>
    <hyperlink r:id="rId46" ref="P20"/>
    <hyperlink r:id="rId47" ref="Q20"/>
    <hyperlink r:id="rId48" ref="O21"/>
    <hyperlink r:id="rId49" ref="P21"/>
    <hyperlink r:id="rId50" ref="Q21"/>
    <hyperlink r:id="rId51" ref="O22"/>
    <hyperlink r:id="rId52" ref="P22"/>
    <hyperlink r:id="rId53" ref="Q22"/>
    <hyperlink r:id="rId54" ref="O23"/>
    <hyperlink r:id="rId55" ref="P23"/>
    <hyperlink r:id="rId56" ref="Q23"/>
    <hyperlink r:id="rId57" ref="O24"/>
    <hyperlink r:id="rId58" ref="P24"/>
    <hyperlink r:id="rId59" ref="Q24"/>
    <hyperlink r:id="rId60" ref="O25"/>
    <hyperlink r:id="rId61" ref="P25"/>
    <hyperlink r:id="rId62" ref="Q25"/>
    <hyperlink r:id="rId63" ref="O26"/>
    <hyperlink r:id="rId64" ref="P26"/>
    <hyperlink r:id="rId65" ref="Q26"/>
    <hyperlink r:id="rId66" ref="O27"/>
    <hyperlink r:id="rId67" ref="P27"/>
    <hyperlink r:id="rId68" ref="Q27"/>
    <hyperlink r:id="rId69" ref="O28"/>
    <hyperlink r:id="rId70" ref="P28"/>
    <hyperlink r:id="rId71" ref="Q28"/>
    <hyperlink r:id="rId72" ref="O29"/>
    <hyperlink r:id="rId73" ref="P29"/>
    <hyperlink r:id="rId74" ref="Q29"/>
    <hyperlink r:id="rId75" ref="O30"/>
    <hyperlink r:id="rId76" ref="Q30"/>
    <hyperlink r:id="rId77" ref="O31"/>
    <hyperlink r:id="rId78" ref="P31"/>
    <hyperlink r:id="rId79" ref="Q31"/>
    <hyperlink r:id="rId80" ref="O32"/>
    <hyperlink r:id="rId81" ref="P32"/>
    <hyperlink r:id="rId82" ref="Q32"/>
    <hyperlink r:id="rId83" ref="P33"/>
    <hyperlink r:id="rId84" ref="Q33"/>
    <hyperlink r:id="rId85" ref="O34"/>
    <hyperlink r:id="rId86" ref="P34"/>
    <hyperlink r:id="rId87" ref="Q34"/>
    <hyperlink r:id="rId88" ref="O35"/>
    <hyperlink r:id="rId89" ref="Q35"/>
    <hyperlink r:id="rId90" ref="O36"/>
    <hyperlink r:id="rId91" ref="P36"/>
    <hyperlink r:id="rId92" ref="Q36"/>
    <hyperlink r:id="rId93" ref="O37"/>
    <hyperlink r:id="rId94" ref="P37"/>
    <hyperlink r:id="rId95" ref="Q37"/>
    <hyperlink r:id="rId96" ref="O38"/>
    <hyperlink r:id="rId97" ref="P38"/>
    <hyperlink r:id="rId98" ref="Q38"/>
    <hyperlink r:id="rId99" ref="O39"/>
    <hyperlink r:id="rId100" ref="P39"/>
    <hyperlink r:id="rId101" ref="Q39"/>
    <hyperlink r:id="rId102" ref="O40"/>
    <hyperlink r:id="rId103" ref="P40"/>
    <hyperlink r:id="rId104" ref="Q40"/>
    <hyperlink r:id="rId105" ref="Q41"/>
    <hyperlink r:id="rId106" ref="O42"/>
    <hyperlink r:id="rId107" ref="P42"/>
    <hyperlink r:id="rId108" ref="Q42"/>
    <hyperlink r:id="rId109" ref="O43"/>
    <hyperlink r:id="rId110" ref="P43"/>
    <hyperlink r:id="rId111" ref="Q43"/>
  </hyperlinks>
  <drawing r:id="rId1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0</v>
      </c>
      <c r="B1" s="9" t="s">
        <v>1</v>
      </c>
      <c r="C1" s="10" t="s">
        <v>18</v>
      </c>
      <c r="D1" s="9" t="s">
        <v>2</v>
      </c>
      <c r="E1" s="9" t="s">
        <v>3</v>
      </c>
      <c r="F1" s="9" t="s">
        <v>4</v>
      </c>
      <c r="G1" s="9" t="s">
        <v>5</v>
      </c>
      <c r="H1" s="9" t="s">
        <v>6</v>
      </c>
      <c r="I1" s="9" t="s">
        <v>7</v>
      </c>
      <c r="J1" s="9" t="s">
        <v>8</v>
      </c>
      <c r="K1" s="9" t="s">
        <v>9</v>
      </c>
      <c r="L1" s="9" t="s">
        <v>10</v>
      </c>
      <c r="M1" s="9" t="s">
        <v>11</v>
      </c>
      <c r="N1" s="9" t="s">
        <v>12</v>
      </c>
      <c r="O1" s="11" t="s">
        <v>13</v>
      </c>
      <c r="P1" s="9" t="s">
        <v>14</v>
      </c>
      <c r="Q1" s="9" t="s">
        <v>15</v>
      </c>
      <c r="R1" s="9" t="s">
        <v>16</v>
      </c>
      <c r="S1" s="9" t="s">
        <v>17</v>
      </c>
    </row>
    <row r="2">
      <c r="A2" s="3" t="str">
        <f>IFERROR(__xludf.DUMMYFUNCTION("query(importrange(Links!B1, ""BM Partner IDs!A2:AK""),""Select Col1, Col4, Col10, Col16, Col18, Col19, Col20, Col21, Col22, Col23, Col24, Col25, Col26, Col27, Col28, Col29, Col30, Col17, Col31 where Col10 = TRUE"",0)"),"Cermak Produce #19")</f>
        <v>Cermak Produce #19</v>
      </c>
      <c r="B2" s="3" t="str">
        <f>IFERROR(__xludf.DUMMYFUNCTION("""COMPUTED_VALUE"""),"Full-Service Supermarket")</f>
        <v>Full-Service Supermarket</v>
      </c>
      <c r="C2" s="3" t="b">
        <f>IFERROR(__xludf.DUMMYFUNCTION("""COMPUTED_VALUE"""),TRUE)</f>
        <v>1</v>
      </c>
      <c r="D2" s="3" t="str">
        <f>IFERROR(__xludf.DUMMYFUNCTION("""COMPUTED_VALUE"""),"41.90886015572821, -87.84556251917589")</f>
        <v>41.90886015572821, -87.84556251917589</v>
      </c>
      <c r="E2" s="3" t="str">
        <f>IFERROR(__xludf.DUMMYFUNCTION("""COMPUTED_VALUE"""),"950 W Winston Plaza")</f>
        <v>950 W Winston Plaza</v>
      </c>
      <c r="F2" s="3"/>
      <c r="G2" s="3" t="str">
        <f>IFERROR(__xludf.DUMMYFUNCTION("""COMPUTED_VALUE"""),"Melrose Park")</f>
        <v>Melrose Park</v>
      </c>
      <c r="H2" s="3" t="str">
        <f>IFERROR(__xludf.DUMMYFUNCTION("""COMPUTED_VALUE"""),"IL")</f>
        <v>IL</v>
      </c>
      <c r="I2" s="3">
        <f>IFERROR(__xludf.DUMMYFUNCTION("""COMPUTED_VALUE"""),60160.0)</f>
        <v>60160</v>
      </c>
      <c r="J2" s="12">
        <f>IFERROR(__xludf.DUMMYFUNCTION("""COMPUTED_VALUE"""),45627.0)</f>
        <v>45627</v>
      </c>
      <c r="K2" s="3"/>
      <c r="L2" s="3" t="str">
        <f>IFERROR(__xludf.DUMMYFUNCTION("""COMPUTED_VALUE"""),"Monday - Sunday")</f>
        <v>Monday - Sunday</v>
      </c>
      <c r="M2" s="3" t="str">
        <f>IFERROR(__xludf.DUMMYFUNCTION("""COMPUTED_VALUE"""),"07:00 AM - 09:00 PM")</f>
        <v>07:00 AM - 09:00 PM</v>
      </c>
      <c r="N2" s="3"/>
      <c r="O2" s="6" t="str">
        <f>IFERROR(__xludf.DUMMYFUNCTION("""COMPUTED_VALUE"""),"https://www.cermakfreshmarket.com/")</f>
        <v>https://www.cermakfreshmarket.com/</v>
      </c>
      <c r="P2" s="3"/>
      <c r="Q2" s="3"/>
      <c r="R2" s="3" t="str">
        <f>IFERROR(__xludf.DUMMYFUNCTION("""COMPUTED_VALUE"""),"Chicago Suburbs")</f>
        <v>Chicago Suburbs</v>
      </c>
      <c r="S2" s="3" t="str">
        <f>IFERROR(__xludf.DUMMYFUNCTION("""COMPUTED_VALUE"""),"$5")</f>
        <v>$5</v>
      </c>
    </row>
    <row r="3">
      <c r="A3" s="3" t="str">
        <f>IFERROR(__xludf.DUMMYFUNCTION("""COMPUTED_VALUE"""),"Cermak Produce #5")</f>
        <v>Cermak Produce #5</v>
      </c>
      <c r="B3" s="3" t="str">
        <f>IFERROR(__xludf.DUMMYFUNCTION("""COMPUTED_VALUE"""),"Full-Service Supermarket")</f>
        <v>Full-Service Supermarket</v>
      </c>
      <c r="C3" s="3" t="b">
        <f>IFERROR(__xludf.DUMMYFUNCTION("""COMPUTED_VALUE"""),TRUE)</f>
        <v>1</v>
      </c>
      <c r="D3" s="3" t="str">
        <f>IFERROR(__xludf.DUMMYFUNCTION("""COMPUTED_VALUE"""),"41.832913120644484, -87.67605366151153")</f>
        <v>41.832913120644484, -87.67605366151153</v>
      </c>
      <c r="E3" s="3" t="str">
        <f>IFERROR(__xludf.DUMMYFUNCTION("""COMPUTED_VALUE"""),"3435 S Archer Ave")</f>
        <v>3435 S Archer Ave</v>
      </c>
      <c r="F3" s="3"/>
      <c r="G3" s="3" t="str">
        <f>IFERROR(__xludf.DUMMYFUNCTION("""COMPUTED_VALUE"""),"Chicago")</f>
        <v>Chicago</v>
      </c>
      <c r="H3" s="3" t="str">
        <f>IFERROR(__xludf.DUMMYFUNCTION("""COMPUTED_VALUE"""),"IL")</f>
        <v>IL</v>
      </c>
      <c r="I3" s="3">
        <f>IFERROR(__xludf.DUMMYFUNCTION("""COMPUTED_VALUE"""),60608.0)</f>
        <v>60608</v>
      </c>
      <c r="J3" s="12">
        <f>IFERROR(__xludf.DUMMYFUNCTION("""COMPUTED_VALUE"""),45603.0)</f>
        <v>45603</v>
      </c>
      <c r="K3" s="3"/>
      <c r="L3" s="3" t="str">
        <f>IFERROR(__xludf.DUMMYFUNCTION("""COMPUTED_VALUE"""),"Monday - Sunday")</f>
        <v>Monday - Sunday</v>
      </c>
      <c r="M3" s="3" t="str">
        <f>IFERROR(__xludf.DUMMYFUNCTION("""COMPUTED_VALUE"""),"07:00 AM - 09:00 PM")</f>
        <v>07:00 AM - 09:00 PM</v>
      </c>
      <c r="N3" s="3"/>
      <c r="O3" s="6" t="str">
        <f>IFERROR(__xludf.DUMMYFUNCTION("""COMPUTED_VALUE"""),"https://www.cermakfreshmarket.com/")</f>
        <v>https://www.cermakfreshmarket.com/</v>
      </c>
      <c r="P3" s="3"/>
      <c r="Q3" s="3"/>
      <c r="R3" s="3" t="str">
        <f>IFERROR(__xludf.DUMMYFUNCTION("""COMPUTED_VALUE"""),"Chicago")</f>
        <v>Chicago</v>
      </c>
      <c r="S3" s="3" t="str">
        <f>IFERROR(__xludf.DUMMYFUNCTION("""COMPUTED_VALUE"""),"$5")</f>
        <v>$5</v>
      </c>
    </row>
    <row r="4">
      <c r="A4" s="3" t="str">
        <f>IFERROR(__xludf.DUMMYFUNCTION("""COMPUTED_VALUE"""),"Cermak Produce #7")</f>
        <v>Cermak Produce #7</v>
      </c>
      <c r="B4" s="3" t="str">
        <f>IFERROR(__xludf.DUMMYFUNCTION("""COMPUTED_VALUE"""),"Full-Service Supermarket")</f>
        <v>Full-Service Supermarket</v>
      </c>
      <c r="C4" s="3" t="b">
        <f>IFERROR(__xludf.DUMMYFUNCTION("""COMPUTED_VALUE"""),TRUE)</f>
        <v>1</v>
      </c>
      <c r="D4" s="3" t="str">
        <f>IFERROR(__xludf.DUMMYFUNCTION("""COMPUTED_VALUE"""),"41.85383559706117, -87.66917353263975")</f>
        <v>41.85383559706117, -87.66917353263975</v>
      </c>
      <c r="E4" s="3" t="str">
        <f>IFERROR(__xludf.DUMMYFUNCTION("""COMPUTED_VALUE"""),"1711 W Cermak Rd")</f>
        <v>1711 W Cermak Rd</v>
      </c>
      <c r="F4" s="3"/>
      <c r="G4" s="3" t="str">
        <f>IFERROR(__xludf.DUMMYFUNCTION("""COMPUTED_VALUE"""),"Chicago")</f>
        <v>Chicago</v>
      </c>
      <c r="H4" s="3" t="str">
        <f>IFERROR(__xludf.DUMMYFUNCTION("""COMPUTED_VALUE"""),"IL")</f>
        <v>IL</v>
      </c>
      <c r="I4" s="3">
        <f>IFERROR(__xludf.DUMMYFUNCTION("""COMPUTED_VALUE"""),60608.0)</f>
        <v>60608</v>
      </c>
      <c r="J4" s="12">
        <f>IFERROR(__xludf.DUMMYFUNCTION("""COMPUTED_VALUE"""),44593.0)</f>
        <v>44593</v>
      </c>
      <c r="K4" s="3"/>
      <c r="L4" s="3" t="str">
        <f>IFERROR(__xludf.DUMMYFUNCTION("""COMPUTED_VALUE"""),"Monday - Sunday")</f>
        <v>Monday - Sunday</v>
      </c>
      <c r="M4" s="3" t="str">
        <f>IFERROR(__xludf.DUMMYFUNCTION("""COMPUTED_VALUE"""),"07:00 AM - 09:00 PM")</f>
        <v>07:00 AM - 09:00 PM</v>
      </c>
      <c r="N4" s="3"/>
      <c r="O4" s="6" t="str">
        <f>IFERROR(__xludf.DUMMYFUNCTION("""COMPUTED_VALUE"""),"https://www.cermakfreshmarket.com/")</f>
        <v>https://www.cermakfreshmarket.com/</v>
      </c>
      <c r="P4" s="3"/>
      <c r="Q4" s="3"/>
      <c r="R4" s="3" t="str">
        <f>IFERROR(__xludf.DUMMYFUNCTION("""COMPUTED_VALUE"""),"Chicago")</f>
        <v>Chicago</v>
      </c>
      <c r="S4" s="3" t="str">
        <f>IFERROR(__xludf.DUMMYFUNCTION("""COMPUTED_VALUE"""),"$5")</f>
        <v>$5</v>
      </c>
    </row>
    <row r="5">
      <c r="A5" s="3" t="str">
        <f>IFERROR(__xludf.DUMMYFUNCTION("""COMPUTED_VALUE"""),"Common Ground Food Co-op")</f>
        <v>Common Ground Food Co-op</v>
      </c>
      <c r="B5" s="3" t="str">
        <f>IFERROR(__xludf.DUMMYFUNCTION("""COMPUTED_VALUE"""),"Food Co-op")</f>
        <v>Food Co-op</v>
      </c>
      <c r="C5" s="3" t="b">
        <f>IFERROR(__xludf.DUMMYFUNCTION("""COMPUTED_VALUE"""),TRUE)</f>
        <v>1</v>
      </c>
      <c r="D5" s="3" t="str">
        <f>IFERROR(__xludf.DUMMYFUNCTION("""COMPUTED_VALUE"""),"40.11072722224889, -88.2066937865058")</f>
        <v>40.11072722224889, -88.2066937865058</v>
      </c>
      <c r="E5" s="3" t="str">
        <f>IFERROR(__xludf.DUMMYFUNCTION("""COMPUTED_VALUE"""),"300 S Broadway Ave")</f>
        <v>300 S Broadway Ave</v>
      </c>
      <c r="F5" s="3" t="str">
        <f>IFERROR(__xludf.DUMMYFUNCTION("""COMPUTED_VALUE"""),"Suite #166")</f>
        <v>Suite #166</v>
      </c>
      <c r="G5" s="3" t="str">
        <f>IFERROR(__xludf.DUMMYFUNCTION("""COMPUTED_VALUE"""),"Urbana")</f>
        <v>Urbana</v>
      </c>
      <c r="H5" s="3" t="str">
        <f>IFERROR(__xludf.DUMMYFUNCTION("""COMPUTED_VALUE"""),"IL")</f>
        <v>IL</v>
      </c>
      <c r="I5" s="3">
        <f>IFERROR(__xludf.DUMMYFUNCTION("""COMPUTED_VALUE"""),61801.0)</f>
        <v>61801</v>
      </c>
      <c r="J5" s="12">
        <f>IFERROR(__xludf.DUMMYFUNCTION("""COMPUTED_VALUE"""),44986.0)</f>
        <v>44986</v>
      </c>
      <c r="K5" s="3"/>
      <c r="L5" s="3" t="str">
        <f>IFERROR(__xludf.DUMMYFUNCTION("""COMPUTED_VALUE"""),"Monday - Sunday")</f>
        <v>Monday - Sunday</v>
      </c>
      <c r="M5" s="3" t="str">
        <f>IFERROR(__xludf.DUMMYFUNCTION("""COMPUTED_VALUE"""),"07:30 AM - 09:00 PM")</f>
        <v>07:30 AM - 09:00 PM</v>
      </c>
      <c r="N5" s="3"/>
      <c r="O5" s="6" t="str">
        <f>IFERROR(__xludf.DUMMYFUNCTION("""COMPUTED_VALUE"""),"https://www.commonground.coop/")</f>
        <v>https://www.commonground.coop/</v>
      </c>
      <c r="P5" s="3"/>
      <c r="Q5" s="3"/>
      <c r="R5" s="3" t="str">
        <f>IFERROR(__xludf.DUMMYFUNCTION("""COMPUTED_VALUE"""),"Central IL")</f>
        <v>Central IL</v>
      </c>
      <c r="S5" s="3" t="str">
        <f>IFERROR(__xludf.DUMMYFUNCTION("""COMPUTED_VALUE"""),"$25")</f>
        <v>$25</v>
      </c>
    </row>
    <row r="6">
      <c r="A6" s="3" t="str">
        <f>IFERROR(__xludf.DUMMYFUNCTION("""COMPUTED_VALUE"""),"Dill Pickle Food Co-op")</f>
        <v>Dill Pickle Food Co-op</v>
      </c>
      <c r="B6" s="3" t="str">
        <f>IFERROR(__xludf.DUMMYFUNCTION("""COMPUTED_VALUE"""),"Food Co-op")</f>
        <v>Food Co-op</v>
      </c>
      <c r="C6" s="3" t="b">
        <f>IFERROR(__xludf.DUMMYFUNCTION("""COMPUTED_VALUE"""),TRUE)</f>
        <v>1</v>
      </c>
      <c r="D6" s="3" t="str">
        <f>IFERROR(__xludf.DUMMYFUNCTION("""COMPUTED_VALUE"""),"41.931131187209644, -87.71111912102097")</f>
        <v>41.931131187209644, -87.71111912102097</v>
      </c>
      <c r="E6" s="3" t="str">
        <f>IFERROR(__xludf.DUMMYFUNCTION("""COMPUTED_VALUE"""),"2746 N Milwaukee")</f>
        <v>2746 N Milwaukee</v>
      </c>
      <c r="F6" s="3"/>
      <c r="G6" s="3" t="str">
        <f>IFERROR(__xludf.DUMMYFUNCTION("""COMPUTED_VALUE"""),"Chicago")</f>
        <v>Chicago</v>
      </c>
      <c r="H6" s="3" t="str">
        <f>IFERROR(__xludf.DUMMYFUNCTION("""COMPUTED_VALUE"""),"IL")</f>
        <v>IL</v>
      </c>
      <c r="I6" s="3">
        <f>IFERROR(__xludf.DUMMYFUNCTION("""COMPUTED_VALUE"""),60647.0)</f>
        <v>60647</v>
      </c>
      <c r="J6" s="12">
        <f>IFERROR(__xludf.DUMMYFUNCTION("""COMPUTED_VALUE"""),43282.0)</f>
        <v>43282</v>
      </c>
      <c r="K6" s="3"/>
      <c r="L6" s="3" t="str">
        <f>IFERROR(__xludf.DUMMYFUNCTION("""COMPUTED_VALUE"""),"Monday - Sunday")</f>
        <v>Monday - Sunday</v>
      </c>
      <c r="M6" s="3" t="str">
        <f>IFERROR(__xludf.DUMMYFUNCTION("""COMPUTED_VALUE"""),"08:00 AM - 09:00 PM")</f>
        <v>08:00 AM - 09:00 PM</v>
      </c>
      <c r="N6" s="3"/>
      <c r="O6" s="6" t="str">
        <f>IFERROR(__xludf.DUMMYFUNCTION("""COMPUTED_VALUE"""),"https://dillpickle.coop/")</f>
        <v>https://dillpickle.coop/</v>
      </c>
      <c r="P6" s="3"/>
      <c r="Q6" s="3"/>
      <c r="R6" s="3" t="str">
        <f>IFERROR(__xludf.DUMMYFUNCTION("""COMPUTED_VALUE"""),"Chicago")</f>
        <v>Chicago</v>
      </c>
      <c r="S6" s="3" t="str">
        <f>IFERROR(__xludf.DUMMYFUNCTION("""COMPUTED_VALUE"""),"$10")</f>
        <v>$10</v>
      </c>
    </row>
    <row r="7">
      <c r="A7" s="3" t="str">
        <f>IFERROR(__xludf.DUMMYFUNCTION("""COMPUTED_VALUE"""),"Food Shed Co-op")</f>
        <v>Food Shed Co-op</v>
      </c>
      <c r="B7" s="3" t="str">
        <f>IFERROR(__xludf.DUMMYFUNCTION("""COMPUTED_VALUE"""),"Food Co-op")</f>
        <v>Food Co-op</v>
      </c>
      <c r="C7" s="3" t="b">
        <f>IFERROR(__xludf.DUMMYFUNCTION("""COMPUTED_VALUE"""),TRUE)</f>
        <v>1</v>
      </c>
      <c r="D7" s="3" t="str">
        <f>IFERROR(__xludf.DUMMYFUNCTION("""COMPUTED_VALUE"""),"42.283090459967354, -88.40785383466677")</f>
        <v>42.283090459967354, -88.40785383466677</v>
      </c>
      <c r="E7" s="3" t="str">
        <f>IFERROR(__xludf.DUMMYFUNCTION("""COMPUTED_VALUE"""),"2390 Lake Shore Drive")</f>
        <v>2390 Lake Shore Drive</v>
      </c>
      <c r="F7" s="3"/>
      <c r="G7" s="3" t="str">
        <f>IFERROR(__xludf.DUMMYFUNCTION("""COMPUTED_VALUE"""),"Woodstock")</f>
        <v>Woodstock</v>
      </c>
      <c r="H7" s="3" t="str">
        <f>IFERROR(__xludf.DUMMYFUNCTION("""COMPUTED_VALUE"""),"IL")</f>
        <v>IL</v>
      </c>
      <c r="I7" s="3">
        <f>IFERROR(__xludf.DUMMYFUNCTION("""COMPUTED_VALUE"""),60098.0)</f>
        <v>60098</v>
      </c>
      <c r="J7" s="12">
        <f>IFERROR(__xludf.DUMMYFUNCTION("""COMPUTED_VALUE"""),45536.0)</f>
        <v>45536</v>
      </c>
      <c r="K7" s="3"/>
      <c r="L7" s="3" t="str">
        <f>IFERROR(__xludf.DUMMYFUNCTION("""COMPUTED_VALUE"""),"Monday - Sunday")</f>
        <v>Monday - Sunday</v>
      </c>
      <c r="M7" s="3" t="str">
        <f>IFERROR(__xludf.DUMMYFUNCTION("""COMPUTED_VALUE"""),"09:00 AM - 08:00 PM")</f>
        <v>09:00 AM - 08:00 PM</v>
      </c>
      <c r="N7" s="3"/>
      <c r="O7" s="6" t="str">
        <f>IFERROR(__xludf.DUMMYFUNCTION("""COMPUTED_VALUE"""),"https://foodshed.coop/about/")</f>
        <v>https://foodshed.coop/about/</v>
      </c>
      <c r="P7" s="3"/>
      <c r="Q7" s="3"/>
      <c r="R7" s="3" t="str">
        <f>IFERROR(__xludf.DUMMYFUNCTION("""COMPUTED_VALUE"""),"Northern IL")</f>
        <v>Northern IL</v>
      </c>
      <c r="S7" s="3" t="str">
        <f>IFERROR(__xludf.DUMMYFUNCTION("""COMPUTED_VALUE"""),"$10")</f>
        <v>$10</v>
      </c>
    </row>
    <row r="8">
      <c r="A8" s="3" t="str">
        <f>IFERROR(__xludf.DUMMYFUNCTION("""COMPUTED_VALUE"""),"Fresh Foods Carbondale")</f>
        <v>Fresh Foods Carbondale</v>
      </c>
      <c r="B8" s="3" t="str">
        <f>IFERROR(__xludf.DUMMYFUNCTION("""COMPUTED_VALUE"""),"Neighborhood Grocer/Small Grocery Store")</f>
        <v>Neighborhood Grocer/Small Grocery Store</v>
      </c>
      <c r="C8" s="3" t="b">
        <f>IFERROR(__xludf.DUMMYFUNCTION("""COMPUTED_VALUE"""),TRUE)</f>
        <v>1</v>
      </c>
      <c r="D8" s="3" t="str">
        <f>IFERROR(__xludf.DUMMYFUNCTION("""COMPUTED_VALUE"""),"37.72839644198386, -89.24162444833252")</f>
        <v>37.72839644198386, -89.24162444833252</v>
      </c>
      <c r="E8" s="3" t="str">
        <f>IFERROR(__xludf.DUMMYFUNCTION("""COMPUTED_VALUE"""),"1927 W Main St")</f>
        <v>1927 W Main St</v>
      </c>
      <c r="F8" s="3"/>
      <c r="G8" s="3" t="str">
        <f>IFERROR(__xludf.DUMMYFUNCTION("""COMPUTED_VALUE"""),"Carbondale")</f>
        <v>Carbondale</v>
      </c>
      <c r="H8" s="3" t="str">
        <f>IFERROR(__xludf.DUMMYFUNCTION("""COMPUTED_VALUE"""),"IL")</f>
        <v>IL</v>
      </c>
      <c r="I8" s="3">
        <f>IFERROR(__xludf.DUMMYFUNCTION("""COMPUTED_VALUE"""),62901.0)</f>
        <v>62901</v>
      </c>
      <c r="J8" s="12">
        <f>IFERROR(__xludf.DUMMYFUNCTION("""COMPUTED_VALUE"""),45474.0)</f>
        <v>45474</v>
      </c>
      <c r="K8" s="3"/>
      <c r="L8" s="3" t="str">
        <f>IFERROR(__xludf.DUMMYFUNCTION("""COMPUTED_VALUE"""),"Monday - Friday, Saturday")</f>
        <v>Monday - Friday, Saturday</v>
      </c>
      <c r="M8" s="3" t="str">
        <f>IFERROR(__xludf.DUMMYFUNCTION("""COMPUTED_VALUE"""),"09:00 AM - 07:00 PM, 08:00 AM - 07:00 PM")</f>
        <v>09:00 AM - 07:00 PM, 08:00 AM - 07:00 PM</v>
      </c>
      <c r="N8" s="3"/>
      <c r="O8" s="3"/>
      <c r="P8" s="3"/>
      <c r="Q8" s="3"/>
      <c r="R8" s="3" t="str">
        <f>IFERROR(__xludf.DUMMYFUNCTION("""COMPUTED_VALUE"""),"Southern IL")</f>
        <v>Southern IL</v>
      </c>
      <c r="S8" s="3" t="str">
        <f>IFERROR(__xludf.DUMMYFUNCTION("""COMPUTED_VALUE"""),"$10")</f>
        <v>$10</v>
      </c>
    </row>
    <row r="9">
      <c r="A9" s="3" t="str">
        <f>IFERROR(__xludf.DUMMYFUNCTION("""COMPUTED_VALUE"""),"Go Green Community Fresh Market")</f>
        <v>Go Green Community Fresh Market</v>
      </c>
      <c r="B9" s="3" t="str">
        <f>IFERROR(__xludf.DUMMYFUNCTION("""COMPUTED_VALUE"""),"Neighborhood Grocer/Small Grocery Store")</f>
        <v>Neighborhood Grocer/Small Grocery Store</v>
      </c>
      <c r="C9" s="3" t="b">
        <f>IFERROR(__xludf.DUMMYFUNCTION("""COMPUTED_VALUE"""),TRUE)</f>
        <v>1</v>
      </c>
      <c r="D9" s="3" t="str">
        <f>IFERROR(__xludf.DUMMYFUNCTION("""COMPUTED_VALUE"""),"41.779786498499696, -87.65500183637424")</f>
        <v>41.779786498499696, -87.65500183637424</v>
      </c>
      <c r="E9" s="3" t="str">
        <f>IFERROR(__xludf.DUMMYFUNCTION("""COMPUTED_VALUE"""),"1207 W 63rd St")</f>
        <v>1207 W 63rd St</v>
      </c>
      <c r="F9" s="3"/>
      <c r="G9" s="3" t="str">
        <f>IFERROR(__xludf.DUMMYFUNCTION("""COMPUTED_VALUE"""),"Chicago")</f>
        <v>Chicago</v>
      </c>
      <c r="H9" s="3" t="str">
        <f>IFERROR(__xludf.DUMMYFUNCTION("""COMPUTED_VALUE"""),"IL")</f>
        <v>IL</v>
      </c>
      <c r="I9" s="3">
        <f>IFERROR(__xludf.DUMMYFUNCTION("""COMPUTED_VALUE"""),60636.0)</f>
        <v>60636</v>
      </c>
      <c r="J9" s="12">
        <f>IFERROR(__xludf.DUMMYFUNCTION("""COMPUTED_VALUE"""),44682.0)</f>
        <v>44682</v>
      </c>
      <c r="K9" s="3"/>
      <c r="L9" s="3" t="str">
        <f>IFERROR(__xludf.DUMMYFUNCTION("""COMPUTED_VALUE"""),"Monday - Friday, Saturday - Sunday")</f>
        <v>Monday - Friday, Saturday - Sunday</v>
      </c>
      <c r="M9" s="3" t="str">
        <f>IFERROR(__xludf.DUMMYFUNCTION("""COMPUTED_VALUE"""),"08:00 AM - 07:00 PM, 9:00 AM - 06:00 PM")</f>
        <v>08:00 AM - 07:00 PM, 9:00 AM - 06:00 PM</v>
      </c>
      <c r="N9" s="3"/>
      <c r="O9" s="6" t="str">
        <f>IFERROR(__xludf.DUMMYFUNCTION("""COMPUTED_VALUE"""),"https://gogreenonracine.com/fresh-market")</f>
        <v>https://gogreenonracine.com/fresh-market</v>
      </c>
      <c r="P9" s="3"/>
      <c r="Q9" s="3"/>
      <c r="R9" s="3" t="str">
        <f>IFERROR(__xludf.DUMMYFUNCTION("""COMPUTED_VALUE"""),"Chicago")</f>
        <v>Chicago</v>
      </c>
      <c r="S9" s="3" t="str">
        <f>IFERROR(__xludf.DUMMYFUNCTION("""COMPUTED_VALUE"""),"$5")</f>
        <v>$5</v>
      </c>
    </row>
    <row r="10">
      <c r="A10" s="3" t="str">
        <f>IFERROR(__xludf.DUMMYFUNCTION("""COMPUTED_VALUE"""),"Green Top Grocery")</f>
        <v>Green Top Grocery</v>
      </c>
      <c r="B10" s="3" t="str">
        <f>IFERROR(__xludf.DUMMYFUNCTION("""COMPUTED_VALUE"""),"Food Co-op")</f>
        <v>Food Co-op</v>
      </c>
      <c r="C10" s="3" t="b">
        <f>IFERROR(__xludf.DUMMYFUNCTION("""COMPUTED_VALUE"""),TRUE)</f>
        <v>1</v>
      </c>
      <c r="D10" s="3" t="str">
        <f>IFERROR(__xludf.DUMMYFUNCTION("""COMPUTED_VALUE"""),"40.479655300442786, -88.9804934057949")</f>
        <v>40.479655300442786, -88.9804934057949</v>
      </c>
      <c r="E10" s="3" t="str">
        <f>IFERROR(__xludf.DUMMYFUNCTION("""COMPUTED_VALUE"""),"921 E Washington St")</f>
        <v>921 E Washington St</v>
      </c>
      <c r="F10" s="3"/>
      <c r="G10" s="3" t="str">
        <f>IFERROR(__xludf.DUMMYFUNCTION("""COMPUTED_VALUE"""),"Bloomington")</f>
        <v>Bloomington</v>
      </c>
      <c r="H10" s="3" t="str">
        <f>IFERROR(__xludf.DUMMYFUNCTION("""COMPUTED_VALUE"""),"IL")</f>
        <v>IL</v>
      </c>
      <c r="I10" s="3">
        <f>IFERROR(__xludf.DUMMYFUNCTION("""COMPUTED_VALUE"""),61701.0)</f>
        <v>61701</v>
      </c>
      <c r="J10" s="12">
        <f>IFERROR(__xludf.DUMMYFUNCTION("""COMPUTED_VALUE"""),44805.0)</f>
        <v>44805</v>
      </c>
      <c r="K10" s="3"/>
      <c r="L10" s="3" t="str">
        <f>IFERROR(__xludf.DUMMYFUNCTION("""COMPUTED_VALUE"""),"Monday - Sunday")</f>
        <v>Monday - Sunday</v>
      </c>
      <c r="M10" s="3" t="str">
        <f>IFERROR(__xludf.DUMMYFUNCTION("""COMPUTED_VALUE"""),"08:00 AM - 08:00 PM")</f>
        <v>08:00 AM - 08:00 PM</v>
      </c>
      <c r="N10" s="3"/>
      <c r="O10" s="6" t="str">
        <f>IFERROR(__xludf.DUMMYFUNCTION("""COMPUTED_VALUE"""),"https://greentopgrocery.com/")</f>
        <v>https://greentopgrocery.com/</v>
      </c>
      <c r="P10" s="3"/>
      <c r="Q10" s="3"/>
      <c r="R10" s="3" t="str">
        <f>IFERROR(__xludf.DUMMYFUNCTION("""COMPUTED_VALUE"""),"Central IL")</f>
        <v>Central IL</v>
      </c>
      <c r="S10" s="3" t="str">
        <f>IFERROR(__xludf.DUMMYFUNCTION("""COMPUTED_VALUE"""),"$10")</f>
        <v>$10</v>
      </c>
    </row>
    <row r="11">
      <c r="A11" s="3" t="str">
        <f>IFERROR(__xludf.DUMMYFUNCTION("""COMPUTED_VALUE"""),"Jewel-Osco: Antioch")</f>
        <v>Jewel-Osco: Antioch</v>
      </c>
      <c r="B11" s="3" t="str">
        <f>IFERROR(__xludf.DUMMYFUNCTION("""COMPUTED_VALUE"""),"Full-Service Supermarket")</f>
        <v>Full-Service Supermarket</v>
      </c>
      <c r="C11" s="3" t="b">
        <f>IFERROR(__xludf.DUMMYFUNCTION("""COMPUTED_VALUE"""),TRUE)</f>
        <v>1</v>
      </c>
      <c r="D11" s="3" t="str">
        <f>IFERROR(__xludf.DUMMYFUNCTION("""COMPUTED_VALUE"""),"42.477289861547405, -88.10612356330623")</f>
        <v>42.477289861547405, -88.10612356330623</v>
      </c>
      <c r="E11" s="3" t="str">
        <f>IFERROR(__xludf.DUMMYFUNCTION("""COMPUTED_VALUE"""),"966 Route 59")</f>
        <v>966 Route 59</v>
      </c>
      <c r="F11" s="3"/>
      <c r="G11" s="3" t="str">
        <f>IFERROR(__xludf.DUMMYFUNCTION("""COMPUTED_VALUE"""),"Antioch")</f>
        <v>Antioch</v>
      </c>
      <c r="H11" s="3" t="str">
        <f>IFERROR(__xludf.DUMMYFUNCTION("""COMPUTED_VALUE"""),"IL")</f>
        <v>IL</v>
      </c>
      <c r="I11" s="3">
        <f>IFERROR(__xludf.DUMMYFUNCTION("""COMPUTED_VALUE"""),60002.0)</f>
        <v>60002</v>
      </c>
      <c r="J11" s="12">
        <f>IFERROR(__xludf.DUMMYFUNCTION("""COMPUTED_VALUE"""),45323.0)</f>
        <v>45323</v>
      </c>
      <c r="K11" s="3"/>
      <c r="L11" s="3" t="str">
        <f>IFERROR(__xludf.DUMMYFUNCTION("""COMPUTED_VALUE"""),"Monday - Sunday")</f>
        <v>Monday - Sunday</v>
      </c>
      <c r="M11" s="3" t="str">
        <f>IFERROR(__xludf.DUMMYFUNCTION("""COMPUTED_VALUE"""),"06:00 AM - 10:00 PM")</f>
        <v>06:00 AM - 10:00 PM</v>
      </c>
      <c r="N11" s="3"/>
      <c r="O11" s="6" t="str">
        <f>IFERROR(__xludf.DUMMYFUNCTION("""COMPUTED_VALUE"""),"https://www.jewelosco.com/")</f>
        <v>https://www.jewelosco.com/</v>
      </c>
      <c r="P11" s="3"/>
      <c r="Q11" s="3"/>
      <c r="R11" s="3" t="str">
        <f>IFERROR(__xludf.DUMMYFUNCTION("""COMPUTED_VALUE"""),"Northern IL")</f>
        <v>Northern IL</v>
      </c>
      <c r="S11" s="3" t="str">
        <f>IFERROR(__xludf.DUMMYFUNCTION("""COMPUTED_VALUE"""),"$5")</f>
        <v>$5</v>
      </c>
    </row>
    <row r="12">
      <c r="A12" s="3" t="str">
        <f>IFERROR(__xludf.DUMMYFUNCTION("""COMPUTED_VALUE"""),"Jewel-Osco: Belmont-Cragin")</f>
        <v>Jewel-Osco: Belmont-Cragin</v>
      </c>
      <c r="B12" s="3" t="str">
        <f>IFERROR(__xludf.DUMMYFUNCTION("""COMPUTED_VALUE"""),"Full-Service Supermarket")</f>
        <v>Full-Service Supermarket</v>
      </c>
      <c r="C12" s="3" t="b">
        <f>IFERROR(__xludf.DUMMYFUNCTION("""COMPUTED_VALUE"""),TRUE)</f>
        <v>1</v>
      </c>
      <c r="D12" s="3" t="str">
        <f>IFERROR(__xludf.DUMMYFUNCTION("""COMPUTED_VALUE"""),"41.92635904325688, -87.78633976089334")</f>
        <v>41.92635904325688, -87.78633976089334</v>
      </c>
      <c r="E12" s="3" t="str">
        <f>IFERROR(__xludf.DUMMYFUNCTION("""COMPUTED_VALUE"""),"2520 N Narragansett Ave")</f>
        <v>2520 N Narragansett Ave</v>
      </c>
      <c r="F12" s="3"/>
      <c r="G12" s="3" t="str">
        <f>IFERROR(__xludf.DUMMYFUNCTION("""COMPUTED_VALUE"""),"Chicago")</f>
        <v>Chicago</v>
      </c>
      <c r="H12" s="3" t="str">
        <f>IFERROR(__xludf.DUMMYFUNCTION("""COMPUTED_VALUE"""),"IL")</f>
        <v>IL</v>
      </c>
      <c r="I12" s="3">
        <f>IFERROR(__xludf.DUMMYFUNCTION("""COMPUTED_VALUE"""),60639.0)</f>
        <v>60639</v>
      </c>
      <c r="J12" s="12">
        <f>IFERROR(__xludf.DUMMYFUNCTION("""COMPUTED_VALUE"""),45536.0)</f>
        <v>45536</v>
      </c>
      <c r="K12" s="3"/>
      <c r="L12" s="3" t="str">
        <f>IFERROR(__xludf.DUMMYFUNCTION("""COMPUTED_VALUE"""),"Monday - Sunday")</f>
        <v>Monday - Sunday</v>
      </c>
      <c r="M12" s="3" t="str">
        <f>IFERROR(__xludf.DUMMYFUNCTION("""COMPUTED_VALUE"""),"06:00 AM - 12:00 AM")</f>
        <v>06:00 AM - 12:00 AM</v>
      </c>
      <c r="N12" s="3"/>
      <c r="O12" s="6" t="str">
        <f>IFERROR(__xludf.DUMMYFUNCTION("""COMPUTED_VALUE"""),"https://www.jewelosco.com/")</f>
        <v>https://www.jewelosco.com/</v>
      </c>
      <c r="P12" s="3"/>
      <c r="Q12" s="3"/>
      <c r="R12" s="3" t="str">
        <f>IFERROR(__xludf.DUMMYFUNCTION("""COMPUTED_VALUE"""),"Chicago")</f>
        <v>Chicago</v>
      </c>
      <c r="S12" s="3" t="str">
        <f>IFERROR(__xludf.DUMMYFUNCTION("""COMPUTED_VALUE"""),"$5")</f>
        <v>$5</v>
      </c>
    </row>
    <row r="13">
      <c r="A13" s="3" t="str">
        <f>IFERROR(__xludf.DUMMYFUNCTION("""COMPUTED_VALUE"""),"Jewel-Osco: Bronzeville")</f>
        <v>Jewel-Osco: Bronzeville</v>
      </c>
      <c r="B13" s="3" t="str">
        <f>IFERROR(__xludf.DUMMYFUNCTION("""COMPUTED_VALUE"""),"Full-Service Supermarket")</f>
        <v>Full-Service Supermarket</v>
      </c>
      <c r="C13" s="3" t="b">
        <f>IFERROR(__xludf.DUMMYFUNCTION("""COMPUTED_VALUE"""),TRUE)</f>
        <v>1</v>
      </c>
      <c r="D13" s="3" t="str">
        <f>IFERROR(__xludf.DUMMYFUNCTION("""COMPUTED_VALUE"""),"41.83318076903926, -87.61461269034662")</f>
        <v>41.83318076903926, -87.61461269034662</v>
      </c>
      <c r="E13" s="3" t="str">
        <f>IFERROR(__xludf.DUMMYFUNCTION("""COMPUTED_VALUE"""),"443 E 34th St")</f>
        <v>443 E 34th St</v>
      </c>
      <c r="F13" s="3"/>
      <c r="G13" s="3" t="str">
        <f>IFERROR(__xludf.DUMMYFUNCTION("""COMPUTED_VALUE"""),"Chicago")</f>
        <v>Chicago</v>
      </c>
      <c r="H13" s="3" t="str">
        <f>IFERROR(__xludf.DUMMYFUNCTION("""COMPUTED_VALUE"""),"IL")</f>
        <v>IL</v>
      </c>
      <c r="I13" s="3">
        <f>IFERROR(__xludf.DUMMYFUNCTION("""COMPUTED_VALUE"""),60616.0)</f>
        <v>60616</v>
      </c>
      <c r="J13" s="12">
        <f>IFERROR(__xludf.DUMMYFUNCTION("""COMPUTED_VALUE"""),45323.0)</f>
        <v>45323</v>
      </c>
      <c r="K13" s="3"/>
      <c r="L13" s="3" t="str">
        <f>IFERROR(__xludf.DUMMYFUNCTION("""COMPUTED_VALUE"""),"Monday - Sunday")</f>
        <v>Monday - Sunday</v>
      </c>
      <c r="M13" s="3" t="str">
        <f>IFERROR(__xludf.DUMMYFUNCTION("""COMPUTED_VALUE"""),"07:00 AM - 10:00 PM")</f>
        <v>07:00 AM - 10:00 PM</v>
      </c>
      <c r="N13" s="3"/>
      <c r="O13" s="6" t="str">
        <f>IFERROR(__xludf.DUMMYFUNCTION("""COMPUTED_VALUE"""),"https://www.jewelosco.com/")</f>
        <v>https://www.jewelosco.com/</v>
      </c>
      <c r="P13" s="3"/>
      <c r="Q13" s="3"/>
      <c r="R13" s="3" t="str">
        <f>IFERROR(__xludf.DUMMYFUNCTION("""COMPUTED_VALUE"""),"Chicago")</f>
        <v>Chicago</v>
      </c>
      <c r="S13" s="3" t="str">
        <f>IFERROR(__xludf.DUMMYFUNCTION("""COMPUTED_VALUE"""),"$5")</f>
        <v>$5</v>
      </c>
    </row>
    <row r="14">
      <c r="A14" s="3" t="str">
        <f>IFERROR(__xludf.DUMMYFUNCTION("""COMPUTED_VALUE"""),"Jewel-Osco: DeKalb")</f>
        <v>Jewel-Osco: DeKalb</v>
      </c>
      <c r="B14" s="3" t="str">
        <f>IFERROR(__xludf.DUMMYFUNCTION("""COMPUTED_VALUE"""),"Full-Service Supermarket")</f>
        <v>Full-Service Supermarket</v>
      </c>
      <c r="C14" s="3" t="b">
        <f>IFERROR(__xludf.DUMMYFUNCTION("""COMPUTED_VALUE"""),TRUE)</f>
        <v>1</v>
      </c>
      <c r="D14" s="3" t="str">
        <f>IFERROR(__xludf.DUMMYFUNCTION("""COMPUTED_VALUE"""),"41.94276465531164, -88.73659794800832")</f>
        <v>41.94276465531164, -88.73659794800832</v>
      </c>
      <c r="E14" s="3" t="str">
        <f>IFERROR(__xludf.DUMMYFUNCTION("""COMPUTED_VALUE"""),"1320 Sycamore Rd")</f>
        <v>1320 Sycamore Rd</v>
      </c>
      <c r="F14" s="3"/>
      <c r="G14" s="3" t="str">
        <f>IFERROR(__xludf.DUMMYFUNCTION("""COMPUTED_VALUE"""),"Dekalb")</f>
        <v>Dekalb</v>
      </c>
      <c r="H14" s="3" t="str">
        <f>IFERROR(__xludf.DUMMYFUNCTION("""COMPUTED_VALUE"""),"IL")</f>
        <v>IL</v>
      </c>
      <c r="I14" s="3">
        <f>IFERROR(__xludf.DUMMYFUNCTION("""COMPUTED_VALUE"""),60115.0)</f>
        <v>60115</v>
      </c>
      <c r="J14" s="12">
        <f>IFERROR(__xludf.DUMMYFUNCTION("""COMPUTED_VALUE"""),45323.0)</f>
        <v>45323</v>
      </c>
      <c r="K14" s="3"/>
      <c r="L14" s="3" t="str">
        <f>IFERROR(__xludf.DUMMYFUNCTION("""COMPUTED_VALUE"""),"Monday - Sunday")</f>
        <v>Monday - Sunday</v>
      </c>
      <c r="M14" s="3" t="str">
        <f>IFERROR(__xludf.DUMMYFUNCTION("""COMPUTED_VALUE"""),"06:00 AM - 10:00 PM")</f>
        <v>06:00 AM - 10:00 PM</v>
      </c>
      <c r="N14" s="3"/>
      <c r="O14" s="6" t="str">
        <f>IFERROR(__xludf.DUMMYFUNCTION("""COMPUTED_VALUE"""),"https://www.jewelosco.com/")</f>
        <v>https://www.jewelosco.com/</v>
      </c>
      <c r="P14" s="3"/>
      <c r="Q14" s="3"/>
      <c r="R14" s="3" t="str">
        <f>IFERROR(__xludf.DUMMYFUNCTION("""COMPUTED_VALUE"""),"Northern IL")</f>
        <v>Northern IL</v>
      </c>
      <c r="S14" s="3" t="str">
        <f>IFERROR(__xludf.DUMMYFUNCTION("""COMPUTED_VALUE"""),"$5")</f>
        <v>$5</v>
      </c>
    </row>
    <row r="15">
      <c r="A15" s="3" t="str">
        <f>IFERROR(__xludf.DUMMYFUNCTION("""COMPUTED_VALUE"""),"Jewel-Osco: Oak Park")</f>
        <v>Jewel-Osco: Oak Park</v>
      </c>
      <c r="B15" s="3" t="str">
        <f>IFERROR(__xludf.DUMMYFUNCTION("""COMPUTED_VALUE"""),"Full-Service Supermarket")</f>
        <v>Full-Service Supermarket</v>
      </c>
      <c r="C15" s="3" t="b">
        <f>IFERROR(__xludf.DUMMYFUNCTION("""COMPUTED_VALUE"""),TRUE)</f>
        <v>1</v>
      </c>
      <c r="D15" s="3" t="str">
        <f>IFERROR(__xludf.DUMMYFUNCTION("""COMPUTED_VALUE"""),"41.88040599389015, -87.78651037567397")</f>
        <v>41.88040599389015, -87.78651037567397</v>
      </c>
      <c r="E15" s="3" t="str">
        <f>IFERROR(__xludf.DUMMYFUNCTION("""COMPUTED_VALUE"""),"438 W Madison St")</f>
        <v>438 W Madison St</v>
      </c>
      <c r="F15" s="3"/>
      <c r="G15" s="3" t="str">
        <f>IFERROR(__xludf.DUMMYFUNCTION("""COMPUTED_VALUE"""),"Oak Park")</f>
        <v>Oak Park</v>
      </c>
      <c r="H15" s="3" t="str">
        <f>IFERROR(__xludf.DUMMYFUNCTION("""COMPUTED_VALUE"""),"IL")</f>
        <v>IL</v>
      </c>
      <c r="I15" s="3">
        <f>IFERROR(__xludf.DUMMYFUNCTION("""COMPUTED_VALUE"""),60302.0)</f>
        <v>60302</v>
      </c>
      <c r="J15" s="12">
        <f>IFERROR(__xludf.DUMMYFUNCTION("""COMPUTED_VALUE"""),45536.0)</f>
        <v>45536</v>
      </c>
      <c r="K15" s="3"/>
      <c r="L15" s="3" t="str">
        <f>IFERROR(__xludf.DUMMYFUNCTION("""COMPUTED_VALUE"""),"Monday - Sunday")</f>
        <v>Monday - Sunday</v>
      </c>
      <c r="M15" s="3" t="str">
        <f>IFERROR(__xludf.DUMMYFUNCTION("""COMPUTED_VALUE"""),"06:00 AM - 12:00 AM")</f>
        <v>06:00 AM - 12:00 AM</v>
      </c>
      <c r="N15" s="3"/>
      <c r="O15" s="6" t="str">
        <f>IFERROR(__xludf.DUMMYFUNCTION("""COMPUTED_VALUE"""),"https://www.jewelosco.com/")</f>
        <v>https://www.jewelosco.com/</v>
      </c>
      <c r="P15" s="3"/>
      <c r="Q15" s="3"/>
      <c r="R15" s="3" t="str">
        <f>IFERROR(__xludf.DUMMYFUNCTION("""COMPUTED_VALUE"""),"Chicago Suburbs")</f>
        <v>Chicago Suburbs</v>
      </c>
      <c r="S15" s="3" t="str">
        <f>IFERROR(__xludf.DUMMYFUNCTION("""COMPUTED_VALUE"""),"$5")</f>
        <v>$5</v>
      </c>
    </row>
    <row r="16">
      <c r="A16" s="3" t="str">
        <f>IFERROR(__xludf.DUMMYFUNCTION("""COMPUTED_VALUE"""),"Jewel-Osco: South Shore")</f>
        <v>Jewel-Osco: South Shore</v>
      </c>
      <c r="B16" s="3" t="str">
        <f>IFERROR(__xludf.DUMMYFUNCTION("""COMPUTED_VALUE"""),"Full-Service Supermarket")</f>
        <v>Full-Service Supermarket</v>
      </c>
      <c r="C16" s="3" t="b">
        <f>IFERROR(__xludf.DUMMYFUNCTION("""COMPUTED_VALUE"""),TRUE)</f>
        <v>1</v>
      </c>
      <c r="D16" s="3" t="str">
        <f>IFERROR(__xludf.DUMMYFUNCTION("""COMPUTED_VALUE"""),"41.75855452683415, -87.587704534529")</f>
        <v>41.75855452683415, -87.587704534529</v>
      </c>
      <c r="E16" s="3" t="str">
        <f>IFERROR(__xludf.DUMMYFUNCTION("""COMPUTED_VALUE"""),"7530 S Stony Island Ave")</f>
        <v>7530 S Stony Island Ave</v>
      </c>
      <c r="F16" s="3"/>
      <c r="G16" s="3" t="str">
        <f>IFERROR(__xludf.DUMMYFUNCTION("""COMPUTED_VALUE"""),"Chicago")</f>
        <v>Chicago</v>
      </c>
      <c r="H16" s="3" t="str">
        <f>IFERROR(__xludf.DUMMYFUNCTION("""COMPUTED_VALUE"""),"IL")</f>
        <v>IL</v>
      </c>
      <c r="I16" s="3">
        <f>IFERROR(__xludf.DUMMYFUNCTION("""COMPUTED_VALUE"""),60649.0)</f>
        <v>60649</v>
      </c>
      <c r="J16" s="12">
        <f>IFERROR(__xludf.DUMMYFUNCTION("""COMPUTED_VALUE"""),45323.0)</f>
        <v>45323</v>
      </c>
      <c r="K16" s="3"/>
      <c r="L16" s="3" t="str">
        <f>IFERROR(__xludf.DUMMYFUNCTION("""COMPUTED_VALUE"""),"Monday - Sunday")</f>
        <v>Monday - Sunday</v>
      </c>
      <c r="M16" s="3" t="str">
        <f>IFERROR(__xludf.DUMMYFUNCTION("""COMPUTED_VALUE"""),"07:00 AM - 10:00 PM")</f>
        <v>07:00 AM - 10:00 PM</v>
      </c>
      <c r="N16" s="3"/>
      <c r="O16" s="6" t="str">
        <f>IFERROR(__xludf.DUMMYFUNCTION("""COMPUTED_VALUE"""),"https://www.jewelosco.com/")</f>
        <v>https://www.jewelosco.com/</v>
      </c>
      <c r="P16" s="3"/>
      <c r="Q16" s="3"/>
      <c r="R16" s="3" t="str">
        <f>IFERROR(__xludf.DUMMYFUNCTION("""COMPUTED_VALUE"""),"Chicago")</f>
        <v>Chicago</v>
      </c>
      <c r="S16" s="3" t="str">
        <f>IFERROR(__xludf.DUMMYFUNCTION("""COMPUTED_VALUE"""),"$5")</f>
        <v>$5</v>
      </c>
    </row>
    <row r="17">
      <c r="A17" s="3" t="str">
        <f>IFERROR(__xludf.DUMMYFUNCTION("""COMPUTED_VALUE"""),"Jewel-Osco: Wicker Park")</f>
        <v>Jewel-Osco: Wicker Park</v>
      </c>
      <c r="B17" s="3" t="str">
        <f>IFERROR(__xludf.DUMMYFUNCTION("""COMPUTED_VALUE"""),"Full-Service Supermarket")</f>
        <v>Full-Service Supermarket</v>
      </c>
      <c r="C17" s="3" t="b">
        <f>IFERROR(__xludf.DUMMYFUNCTION("""COMPUTED_VALUE"""),TRUE)</f>
        <v>1</v>
      </c>
      <c r="D17" s="3" t="str">
        <f>IFERROR(__xludf.DUMMYFUNCTION("""COMPUTED_VALUE"""),"41.90656395819349, -87.66878168916308")</f>
        <v>41.90656395819349, -87.66878168916308</v>
      </c>
      <c r="E17" s="3" t="str">
        <f>IFERROR(__xludf.DUMMYFUNCTION("""COMPUTED_VALUE"""),"1341 N Paulina St")</f>
        <v>1341 N Paulina St</v>
      </c>
      <c r="F17" s="3"/>
      <c r="G17" s="3" t="str">
        <f>IFERROR(__xludf.DUMMYFUNCTION("""COMPUTED_VALUE"""),"Chicago")</f>
        <v>Chicago</v>
      </c>
      <c r="H17" s="3" t="str">
        <f>IFERROR(__xludf.DUMMYFUNCTION("""COMPUTED_VALUE"""),"IL")</f>
        <v>IL</v>
      </c>
      <c r="I17" s="3">
        <f>IFERROR(__xludf.DUMMYFUNCTION("""COMPUTED_VALUE"""),60622.0)</f>
        <v>60622</v>
      </c>
      <c r="J17" s="12">
        <f>IFERROR(__xludf.DUMMYFUNCTION("""COMPUTED_VALUE"""),45536.0)</f>
        <v>45536</v>
      </c>
      <c r="K17" s="3"/>
      <c r="L17" s="3" t="str">
        <f>IFERROR(__xludf.DUMMYFUNCTION("""COMPUTED_VALUE"""),"Monday - Sunday")</f>
        <v>Monday - Sunday</v>
      </c>
      <c r="M17" s="3" t="str">
        <f>IFERROR(__xludf.DUMMYFUNCTION("""COMPUTED_VALUE"""),"06:00 AM - 12:00 AM")</f>
        <v>06:00 AM - 12:00 AM</v>
      </c>
      <c r="N17" s="3"/>
      <c r="O17" s="6" t="str">
        <f>IFERROR(__xludf.DUMMYFUNCTION("""COMPUTED_VALUE"""),"https://www.jewelosco.com/")</f>
        <v>https://www.jewelosco.com/</v>
      </c>
      <c r="P17" s="3"/>
      <c r="Q17" s="3"/>
      <c r="R17" s="3" t="str">
        <f>IFERROR(__xludf.DUMMYFUNCTION("""COMPUTED_VALUE"""),"Chicago")</f>
        <v>Chicago</v>
      </c>
      <c r="S17" s="3" t="str">
        <f>IFERROR(__xludf.DUMMYFUNCTION("""COMPUTED_VALUE"""),"$5")</f>
        <v>$5</v>
      </c>
    </row>
    <row r="18">
      <c r="A18" s="3" t="str">
        <f>IFERROR(__xludf.DUMMYFUNCTION("""COMPUTED_VALUE"""),"Mi Mexico")</f>
        <v>Mi Mexico</v>
      </c>
      <c r="B18" s="3" t="str">
        <f>IFERROR(__xludf.DUMMYFUNCTION("""COMPUTED_VALUE"""),"Corner Store/Convenience Store")</f>
        <v>Corner Store/Convenience Store</v>
      </c>
      <c r="C18" s="3" t="b">
        <f>IFERROR(__xludf.DUMMYFUNCTION("""COMPUTED_VALUE"""),TRUE)</f>
        <v>1</v>
      </c>
      <c r="D18" s="3" t="str">
        <f>IFERROR(__xludf.DUMMYFUNCTION("""COMPUTED_VALUE"""),"41.78649279529708, -87.68897582208817")</f>
        <v>41.78649279529708, -87.68897582208817</v>
      </c>
      <c r="E18" s="3" t="str">
        <f>IFERROR(__xludf.DUMMYFUNCTION("""COMPUTED_VALUE"""),"2601 W 59th St")</f>
        <v>2601 W 59th St</v>
      </c>
      <c r="F18" s="3"/>
      <c r="G18" s="3" t="str">
        <f>IFERROR(__xludf.DUMMYFUNCTION("""COMPUTED_VALUE"""),"Chicago")</f>
        <v>Chicago</v>
      </c>
      <c r="H18" s="3" t="str">
        <f>IFERROR(__xludf.DUMMYFUNCTION("""COMPUTED_VALUE"""),"IL")</f>
        <v>IL</v>
      </c>
      <c r="I18" s="3">
        <f>IFERROR(__xludf.DUMMYFUNCTION("""COMPUTED_VALUE"""),60629.0)</f>
        <v>60629</v>
      </c>
      <c r="J18" s="12">
        <f>IFERROR(__xludf.DUMMYFUNCTION("""COMPUTED_VALUE"""),44409.0)</f>
        <v>44409</v>
      </c>
      <c r="K18" s="3"/>
      <c r="L18" s="3" t="str">
        <f>IFERROR(__xludf.DUMMYFUNCTION("""COMPUTED_VALUE"""),"Monday - Sunday")</f>
        <v>Monday - Sunday</v>
      </c>
      <c r="M18" s="3" t="str">
        <f>IFERROR(__xludf.DUMMYFUNCTION("""COMPUTED_VALUE"""),"07:00 AM - 09:00 PM")</f>
        <v>07:00 AM - 09:00 PM</v>
      </c>
      <c r="N18" s="3"/>
      <c r="O18" s="6" t="str">
        <f>IFERROR(__xludf.DUMMYFUNCTION("""COMPUTED_VALUE"""),"https://www.facebook.com/MiMexicoGroceryStore/")</f>
        <v>https://www.facebook.com/MiMexicoGroceryStore/</v>
      </c>
      <c r="P18" s="3"/>
      <c r="Q18" s="3"/>
      <c r="R18" s="3" t="str">
        <f>IFERROR(__xludf.DUMMYFUNCTION("""COMPUTED_VALUE"""),"Chicago")</f>
        <v>Chicago</v>
      </c>
      <c r="S18" s="3" t="str">
        <f>IFERROR(__xludf.DUMMYFUNCTION("""COMPUTED_VALUE"""),"$5")</f>
        <v>$5</v>
      </c>
    </row>
    <row r="19">
      <c r="A19" s="3" t="str">
        <f>IFERROR(__xludf.DUMMYFUNCTION("""COMPUTED_VALUE"""),"Morgan Mini Mart")</f>
        <v>Morgan Mini Mart</v>
      </c>
      <c r="B19" s="3" t="str">
        <f>IFERROR(__xludf.DUMMYFUNCTION("""COMPUTED_VALUE"""),"Corner Store/Convenience Store")</f>
        <v>Corner Store/Convenience Store</v>
      </c>
      <c r="C19" s="3" t="b">
        <f>IFERROR(__xludf.DUMMYFUNCTION("""COMPUTED_VALUE"""),TRUE)</f>
        <v>1</v>
      </c>
      <c r="D19" s="3" t="str">
        <f>IFERROR(__xludf.DUMMYFUNCTION("""COMPUTED_VALUE"""),"41.774327005219426, -87.64962817685718")</f>
        <v>41.774327005219426, -87.64962817685718</v>
      </c>
      <c r="E19" s="3" t="str">
        <f>IFERROR(__xludf.DUMMYFUNCTION("""COMPUTED_VALUE"""),"6600 S Morgan St")</f>
        <v>6600 S Morgan St</v>
      </c>
      <c r="F19" s="3"/>
      <c r="G19" s="3" t="str">
        <f>IFERROR(__xludf.DUMMYFUNCTION("""COMPUTED_VALUE"""),"Chicago")</f>
        <v>Chicago</v>
      </c>
      <c r="H19" s="3" t="str">
        <f>IFERROR(__xludf.DUMMYFUNCTION("""COMPUTED_VALUE"""),"IL")</f>
        <v>IL</v>
      </c>
      <c r="I19" s="3">
        <f>IFERROR(__xludf.DUMMYFUNCTION("""COMPUTED_VALUE"""),60621.0)</f>
        <v>60621</v>
      </c>
      <c r="J19" s="12">
        <f>IFERROR(__xludf.DUMMYFUNCTION("""COMPUTED_VALUE"""),44228.0)</f>
        <v>44228</v>
      </c>
      <c r="K19" s="3"/>
      <c r="L19" s="3" t="str">
        <f>IFERROR(__xludf.DUMMYFUNCTION("""COMPUTED_VALUE"""),"Monday - Sunday")</f>
        <v>Monday - Sunday</v>
      </c>
      <c r="M19" s="3" t="str">
        <f>IFERROR(__xludf.DUMMYFUNCTION("""COMPUTED_VALUE"""),"09:00 AM - 07:00 PM")</f>
        <v>09:00 AM - 07:00 PM</v>
      </c>
      <c r="N19" s="3"/>
      <c r="O19" s="3"/>
      <c r="P19" s="3"/>
      <c r="Q19" s="3"/>
      <c r="R19" s="3" t="str">
        <f>IFERROR(__xludf.DUMMYFUNCTION("""COMPUTED_VALUE"""),"Chicago")</f>
        <v>Chicago</v>
      </c>
      <c r="S19" s="3" t="str">
        <f>IFERROR(__xludf.DUMMYFUNCTION("""COMPUTED_VALUE"""),"$5")</f>
        <v>$5</v>
      </c>
    </row>
    <row r="20">
      <c r="A20" s="3" t="str">
        <f>IFERROR(__xludf.DUMMYFUNCTION("""COMPUTED_VALUE"""),"Neighborhood Co-op Grocery")</f>
        <v>Neighborhood Co-op Grocery</v>
      </c>
      <c r="B20" s="3" t="str">
        <f>IFERROR(__xludf.DUMMYFUNCTION("""COMPUTED_VALUE"""),"Food Co-op")</f>
        <v>Food Co-op</v>
      </c>
      <c r="C20" s="3" t="b">
        <f>IFERROR(__xludf.DUMMYFUNCTION("""COMPUTED_VALUE"""),TRUE)</f>
        <v>1</v>
      </c>
      <c r="D20" s="3" t="str">
        <f>IFERROR(__xludf.DUMMYFUNCTION("""COMPUTED_VALUE"""),"37.72842622791688, -89.24007671949725")</f>
        <v>37.72842622791688, -89.24007671949725</v>
      </c>
      <c r="E20" s="3" t="str">
        <f>IFERROR(__xludf.DUMMYFUNCTION("""COMPUTED_VALUE"""),"1815 W Main St")</f>
        <v>1815 W Main St</v>
      </c>
      <c r="F20" s="3"/>
      <c r="G20" s="3" t="str">
        <f>IFERROR(__xludf.DUMMYFUNCTION("""COMPUTED_VALUE"""),"Carbondale")</f>
        <v>Carbondale</v>
      </c>
      <c r="H20" s="3" t="str">
        <f>IFERROR(__xludf.DUMMYFUNCTION("""COMPUTED_VALUE"""),"IL")</f>
        <v>IL</v>
      </c>
      <c r="I20" s="3">
        <f>IFERROR(__xludf.DUMMYFUNCTION("""COMPUTED_VALUE"""),62901.0)</f>
        <v>62901</v>
      </c>
      <c r="J20" s="12">
        <f>IFERROR(__xludf.DUMMYFUNCTION("""COMPUTED_VALUE"""),43101.0)</f>
        <v>43101</v>
      </c>
      <c r="K20" s="3"/>
      <c r="L20" s="3" t="str">
        <f>IFERROR(__xludf.DUMMYFUNCTION("""COMPUTED_VALUE"""),"Monday - Sunday")</f>
        <v>Monday - Sunday</v>
      </c>
      <c r="M20" s="3" t="str">
        <f>IFERROR(__xludf.DUMMYFUNCTION("""COMPUTED_VALUE"""),"08:00 AM - 09:00 PM")</f>
        <v>08:00 AM - 09:00 PM</v>
      </c>
      <c r="N20" s="3"/>
      <c r="O20" s="6" t="str">
        <f>IFERROR(__xludf.DUMMYFUNCTION("""COMPUTED_VALUE"""),"https://www.neighborhood.coop/")</f>
        <v>https://www.neighborhood.coop/</v>
      </c>
      <c r="P20" s="3"/>
      <c r="Q20" s="3"/>
      <c r="R20" s="3" t="str">
        <f>IFERROR(__xludf.DUMMYFUNCTION("""COMPUTED_VALUE"""),"Southern IL")</f>
        <v>Southern IL</v>
      </c>
      <c r="S20" s="3" t="str">
        <f>IFERROR(__xludf.DUMMYFUNCTION("""COMPUTED_VALUE"""),"$25")</f>
        <v>$25</v>
      </c>
    </row>
    <row r="21">
      <c r="A21" s="3" t="str">
        <f>IFERROR(__xludf.DUMMYFUNCTION("""COMPUTED_VALUE"""),"One Stop Food")</f>
        <v>One Stop Food</v>
      </c>
      <c r="B21" s="3" t="str">
        <f>IFERROR(__xludf.DUMMYFUNCTION("""COMPUTED_VALUE"""),"Full-Service Supermarket")</f>
        <v>Full-Service Supermarket</v>
      </c>
      <c r="C21" s="3" t="b">
        <f>IFERROR(__xludf.DUMMYFUNCTION("""COMPUTED_VALUE"""),TRUE)</f>
        <v>1</v>
      </c>
      <c r="D21" s="3" t="str">
        <f>IFERROR(__xludf.DUMMYFUNCTION("""COMPUTED_VALUE"""),"41.82043342676528, -87.59775984789304")</f>
        <v>41.82043342676528, -87.59775984789304</v>
      </c>
      <c r="E21" s="3" t="str">
        <f>IFERROR(__xludf.DUMMYFUNCTION("""COMPUTED_VALUE"""),"4301 S Lake Park Ave")</f>
        <v>4301 S Lake Park Ave</v>
      </c>
      <c r="F21" s="3"/>
      <c r="G21" s="3" t="str">
        <f>IFERROR(__xludf.DUMMYFUNCTION("""COMPUTED_VALUE"""),"Chicago")</f>
        <v>Chicago</v>
      </c>
      <c r="H21" s="3" t="str">
        <f>IFERROR(__xludf.DUMMYFUNCTION("""COMPUTED_VALUE"""),"IL")</f>
        <v>IL</v>
      </c>
      <c r="I21" s="3">
        <f>IFERROR(__xludf.DUMMYFUNCTION("""COMPUTED_VALUE"""),60653.0)</f>
        <v>60653</v>
      </c>
      <c r="J21" s="12">
        <f>IFERROR(__xludf.DUMMYFUNCTION("""COMPUTED_VALUE"""),44501.0)</f>
        <v>44501</v>
      </c>
      <c r="K21" s="3"/>
      <c r="L21" s="3" t="str">
        <f>IFERROR(__xludf.DUMMYFUNCTION("""COMPUTED_VALUE"""),"Monday - Sunday")</f>
        <v>Monday - Sunday</v>
      </c>
      <c r="M21" s="3" t="str">
        <f>IFERROR(__xludf.DUMMYFUNCTION("""COMPUTED_VALUE"""),"08:00 AM - 08:00 PM")</f>
        <v>08:00 AM - 08:00 PM</v>
      </c>
      <c r="N21" s="3"/>
      <c r="O21" s="6" t="str">
        <f>IFERROR(__xludf.DUMMYFUNCTION("""COMPUTED_VALUE"""),"https://onestopfoods.com/")</f>
        <v>https://onestopfoods.com/</v>
      </c>
      <c r="P21" s="3"/>
      <c r="Q21" s="3"/>
      <c r="R21" s="3" t="str">
        <f>IFERROR(__xludf.DUMMYFUNCTION("""COMPUTED_VALUE"""),"Chicago")</f>
        <v>Chicago</v>
      </c>
      <c r="S21" s="3" t="str">
        <f>IFERROR(__xludf.DUMMYFUNCTION("""COMPUTED_VALUE"""),"$5")</f>
        <v>$5</v>
      </c>
    </row>
    <row r="22">
      <c r="A22" s="3" t="str">
        <f>IFERROR(__xludf.DUMMYFUNCTION("""COMPUTED_VALUE"""),"Save A Lot #61315")</f>
        <v>Save A Lot #61315</v>
      </c>
      <c r="B22" s="3" t="str">
        <f>IFERROR(__xludf.DUMMYFUNCTION("""COMPUTED_VALUE"""),"Mid-sized Grocery Store")</f>
        <v>Mid-sized Grocery Store</v>
      </c>
      <c r="C22" s="3" t="b">
        <f>IFERROR(__xludf.DUMMYFUNCTION("""COMPUTED_VALUE"""),TRUE)</f>
        <v>1</v>
      </c>
      <c r="D22" s="3" t="str">
        <f>IFERROR(__xludf.DUMMYFUNCTION("""COMPUTED_VALUE"""),"41.87627272513586, -87.72608569456884")</f>
        <v>41.87627272513586, -87.72608569456884</v>
      </c>
      <c r="E22" s="3" t="str">
        <f>IFERROR(__xludf.DUMMYFUNCTION("""COMPUTED_VALUE"""),"420 S Pulaski ")</f>
        <v>420 S Pulaski </v>
      </c>
      <c r="F22" s="3"/>
      <c r="G22" s="3" t="str">
        <f>IFERROR(__xludf.DUMMYFUNCTION("""COMPUTED_VALUE"""),"Chicago")</f>
        <v>Chicago</v>
      </c>
      <c r="H22" s="3" t="str">
        <f>IFERROR(__xludf.DUMMYFUNCTION("""COMPUTED_VALUE"""),"IL")</f>
        <v>IL</v>
      </c>
      <c r="I22" s="3">
        <f>IFERROR(__xludf.DUMMYFUNCTION("""COMPUTED_VALUE"""),60624.0)</f>
        <v>60624</v>
      </c>
      <c r="J22" s="12">
        <f>IFERROR(__xludf.DUMMYFUNCTION("""COMPUTED_VALUE"""),45536.0)</f>
        <v>45536</v>
      </c>
      <c r="K22" s="3"/>
      <c r="L22" s="3" t="str">
        <f>IFERROR(__xludf.DUMMYFUNCTION("""COMPUTED_VALUE"""),"Monday - Sunday")</f>
        <v>Monday - Sunday</v>
      </c>
      <c r="M22" s="3" t="str">
        <f>IFERROR(__xludf.DUMMYFUNCTION("""COMPUTED_VALUE"""),"08:00 AM - 09:00 PM")</f>
        <v>08:00 AM - 09:00 PM</v>
      </c>
      <c r="N22" s="3"/>
      <c r="O22" s="6" t="str">
        <f>IFERROR(__xludf.DUMMYFUNCTION("""COMPUTED_VALUE"""),"https://savealot.com/stores/61315?utm_campaign=gmb&amp;utm_medium=organic&amp;utm_source=google")</f>
        <v>https://savealot.com/stores/61315?utm_campaign=gmb&amp;utm_medium=organic&amp;utm_source=google</v>
      </c>
      <c r="P22" s="3"/>
      <c r="Q22" s="3"/>
      <c r="R22" s="3" t="str">
        <f>IFERROR(__xludf.DUMMYFUNCTION("""COMPUTED_VALUE"""),"Chicago")</f>
        <v>Chicago</v>
      </c>
      <c r="S22" s="3" t="str">
        <f>IFERROR(__xludf.DUMMYFUNCTION("""COMPUTED_VALUE"""),"$5")</f>
        <v>$5</v>
      </c>
    </row>
    <row r="23">
      <c r="A23" s="3" t="str">
        <f>IFERROR(__xludf.DUMMYFUNCTION("""COMPUTED_VALUE"""),"Sugar Beet Food Co-op")</f>
        <v>Sugar Beet Food Co-op</v>
      </c>
      <c r="B23" s="3" t="str">
        <f>IFERROR(__xludf.DUMMYFUNCTION("""COMPUTED_VALUE"""),"Food Co-op")</f>
        <v>Food Co-op</v>
      </c>
      <c r="C23" s="3" t="b">
        <f>IFERROR(__xludf.DUMMYFUNCTION("""COMPUTED_VALUE"""),TRUE)</f>
        <v>1</v>
      </c>
      <c r="D23" s="3" t="str">
        <f>IFERROR(__xludf.DUMMYFUNCTION("""COMPUTED_VALUE"""),"41.88007076889285, -87.79524981917811")</f>
        <v>41.88007076889285, -87.79524981917811</v>
      </c>
      <c r="E23" s="3" t="str">
        <f>IFERROR(__xludf.DUMMYFUNCTION("""COMPUTED_VALUE"""),"812 Madison")</f>
        <v>812 Madison</v>
      </c>
      <c r="F23" s="3"/>
      <c r="G23" s="3" t="str">
        <f>IFERROR(__xludf.DUMMYFUNCTION("""COMPUTED_VALUE"""),"Oak Park")</f>
        <v>Oak Park</v>
      </c>
      <c r="H23" s="3" t="str">
        <f>IFERROR(__xludf.DUMMYFUNCTION("""COMPUTED_VALUE"""),"IL")</f>
        <v>IL</v>
      </c>
      <c r="I23" s="3">
        <f>IFERROR(__xludf.DUMMYFUNCTION("""COMPUTED_VALUE"""),60302.0)</f>
        <v>60302</v>
      </c>
      <c r="J23" s="12">
        <f>IFERROR(__xludf.DUMMYFUNCTION("""COMPUTED_VALUE"""),44256.0)</f>
        <v>44256</v>
      </c>
      <c r="K23" s="3"/>
      <c r="L23" s="3" t="str">
        <f>IFERROR(__xludf.DUMMYFUNCTION("""COMPUTED_VALUE"""),"Monday - Sunday")</f>
        <v>Monday - Sunday</v>
      </c>
      <c r="M23" s="3" t="str">
        <f>IFERROR(__xludf.DUMMYFUNCTION("""COMPUTED_VALUE"""),"08:00 AM - 08:00 PM")</f>
        <v>08:00 AM - 08:00 PM</v>
      </c>
      <c r="N23" s="3"/>
      <c r="O23" s="6" t="str">
        <f>IFERROR(__xludf.DUMMYFUNCTION("""COMPUTED_VALUE"""),"https://www.sugarbeet.coop/")</f>
        <v>https://www.sugarbeet.coop/</v>
      </c>
      <c r="P23" s="3"/>
      <c r="Q23" s="3"/>
      <c r="R23" s="3" t="str">
        <f>IFERROR(__xludf.DUMMYFUNCTION("""COMPUTED_VALUE"""),"Chicago Suburbs")</f>
        <v>Chicago Suburbs</v>
      </c>
      <c r="S23" s="3" t="str">
        <f>IFERROR(__xludf.DUMMYFUNCTION("""COMPUTED_VALUE"""),"$10")</f>
        <v>$10</v>
      </c>
    </row>
    <row r="24">
      <c r="A24" s="3" t="str">
        <f>IFERROR(__xludf.DUMMYFUNCTION("""COMPUTED_VALUE"""),"Tony's Fresh Market: Bolingbrook")</f>
        <v>Tony's Fresh Market: Bolingbrook</v>
      </c>
      <c r="B24" s="3" t="str">
        <f>IFERROR(__xludf.DUMMYFUNCTION("""COMPUTED_VALUE"""),"Full-Service Supermarket")</f>
        <v>Full-Service Supermarket</v>
      </c>
      <c r="C24" s="3" t="b">
        <f>IFERROR(__xludf.DUMMYFUNCTION("""COMPUTED_VALUE"""),TRUE)</f>
        <v>1</v>
      </c>
      <c r="D24" s="3" t="str">
        <f>IFERROR(__xludf.DUMMYFUNCTION("""COMPUTED_VALUE"""),"41.69230420180381, -88.07027927357541")</f>
        <v>41.69230420180381, -88.07027927357541</v>
      </c>
      <c r="E24" s="3" t="str">
        <f>IFERROR(__xludf.DUMMYFUNCTION("""COMPUTED_VALUE"""),"271 S Bolingbrook Dr")</f>
        <v>271 S Bolingbrook Dr</v>
      </c>
      <c r="F24" s="3"/>
      <c r="G24" s="3" t="str">
        <f>IFERROR(__xludf.DUMMYFUNCTION("""COMPUTED_VALUE"""),"Bolingbrook")</f>
        <v>Bolingbrook</v>
      </c>
      <c r="H24" s="3" t="str">
        <f>IFERROR(__xludf.DUMMYFUNCTION("""COMPUTED_VALUE"""),"IL")</f>
        <v>IL</v>
      </c>
      <c r="I24" s="3">
        <f>IFERROR(__xludf.DUMMYFUNCTION("""COMPUTED_VALUE"""),60440.0)</f>
        <v>60440</v>
      </c>
      <c r="J24" s="12">
        <f>IFERROR(__xludf.DUMMYFUNCTION("""COMPUTED_VALUE"""),45663.0)</f>
        <v>45663</v>
      </c>
      <c r="K24" s="3"/>
      <c r="L24" s="3" t="str">
        <f>IFERROR(__xludf.DUMMYFUNCTION("""COMPUTED_VALUE"""),"Monday - Sunday")</f>
        <v>Monday - Sunday</v>
      </c>
      <c r="M24" s="3" t="str">
        <f>IFERROR(__xludf.DUMMYFUNCTION("""COMPUTED_VALUE"""),"07:00 AM - 10:00 PM")</f>
        <v>07:00 AM - 10:00 PM</v>
      </c>
      <c r="N24" s="3"/>
      <c r="O24" s="6" t="str">
        <f>IFERROR(__xludf.DUMMYFUNCTION("""COMPUTED_VALUE"""),"https://www.tonysfreshmarket.com/")</f>
        <v>https://www.tonysfreshmarket.com/</v>
      </c>
      <c r="P24" s="3"/>
      <c r="Q24" s="3"/>
      <c r="R24" s="3" t="str">
        <f>IFERROR(__xludf.DUMMYFUNCTION("""COMPUTED_VALUE"""),"Chicago Suburbs")</f>
        <v>Chicago Suburbs</v>
      </c>
      <c r="S24" s="3" t="str">
        <f>IFERROR(__xludf.DUMMYFUNCTION("""COMPUTED_VALUE"""),"$5")</f>
        <v>$5</v>
      </c>
    </row>
    <row r="25">
      <c r="A25" s="3" t="str">
        <f>IFERROR(__xludf.DUMMYFUNCTION("""COMPUTED_VALUE"""),"Tony's Fresh Market: Joliet")</f>
        <v>Tony's Fresh Market: Joliet</v>
      </c>
      <c r="B25" s="3" t="str">
        <f>IFERROR(__xludf.DUMMYFUNCTION("""COMPUTED_VALUE"""),"Full-Service Supermarket")</f>
        <v>Full-Service Supermarket</v>
      </c>
      <c r="C25" s="3" t="b">
        <f>IFERROR(__xludf.DUMMYFUNCTION("""COMPUTED_VALUE"""),TRUE)</f>
        <v>1</v>
      </c>
      <c r="D25" s="3" t="str">
        <f>IFERROR(__xludf.DUMMYFUNCTION("""COMPUTED_VALUE"""),"41.52478391391678, -88.1259469549627")</f>
        <v>41.52478391391678, -88.1259469549627</v>
      </c>
      <c r="E25" s="3" t="str">
        <f>IFERROR(__xludf.DUMMYFUNCTION("""COMPUTED_VALUE"""),"1801 W Jefferson")</f>
        <v>1801 W Jefferson</v>
      </c>
      <c r="F25" s="3"/>
      <c r="G25" s="3" t="str">
        <f>IFERROR(__xludf.DUMMYFUNCTION("""COMPUTED_VALUE"""),"Joliet")</f>
        <v>Joliet</v>
      </c>
      <c r="H25" s="3" t="str">
        <f>IFERROR(__xludf.DUMMYFUNCTION("""COMPUTED_VALUE"""),"IL")</f>
        <v>IL</v>
      </c>
      <c r="I25" s="3">
        <f>IFERROR(__xludf.DUMMYFUNCTION("""COMPUTED_VALUE"""),60435.0)</f>
        <v>60435</v>
      </c>
      <c r="J25" s="12">
        <f>IFERROR(__xludf.DUMMYFUNCTION("""COMPUTED_VALUE"""),45663.0)</f>
        <v>45663</v>
      </c>
      <c r="K25" s="3"/>
      <c r="L25" s="3" t="str">
        <f>IFERROR(__xludf.DUMMYFUNCTION("""COMPUTED_VALUE"""),"Monday - Sunday")</f>
        <v>Monday - Sunday</v>
      </c>
      <c r="M25" s="3" t="str">
        <f>IFERROR(__xludf.DUMMYFUNCTION("""COMPUTED_VALUE"""),"07:00 AM - 10:00 PM")</f>
        <v>07:00 AM - 10:00 PM</v>
      </c>
      <c r="N25" s="3"/>
      <c r="O25" s="6" t="str">
        <f>IFERROR(__xludf.DUMMYFUNCTION("""COMPUTED_VALUE"""),"https://www.tonysfreshmarket.com/")</f>
        <v>https://www.tonysfreshmarket.com/</v>
      </c>
      <c r="P25" s="3"/>
      <c r="Q25" s="3"/>
      <c r="R25" s="3" t="str">
        <f>IFERROR(__xludf.DUMMYFUNCTION("""COMPUTED_VALUE"""),"Chicago Suburbs")</f>
        <v>Chicago Suburbs</v>
      </c>
      <c r="S25" s="3" t="str">
        <f>IFERROR(__xludf.DUMMYFUNCTION("""COMPUTED_VALUE"""),"$5")</f>
        <v>$5</v>
      </c>
    </row>
    <row r="26">
      <c r="A26" s="3" t="str">
        <f>IFERROR(__xludf.DUMMYFUNCTION("""COMPUTED_VALUE"""),"Tony's Fresh Market: Plainfield")</f>
        <v>Tony's Fresh Market: Plainfield</v>
      </c>
      <c r="B26" s="3" t="str">
        <f>IFERROR(__xludf.DUMMYFUNCTION("""COMPUTED_VALUE"""),"Full-Service Supermarket")</f>
        <v>Full-Service Supermarket</v>
      </c>
      <c r="C26" s="3" t="b">
        <f>IFERROR(__xludf.DUMMYFUNCTION("""COMPUTED_VALUE"""),TRUE)</f>
        <v>1</v>
      </c>
      <c r="D26" s="3" t="str">
        <f>IFERROR(__xludf.DUMMYFUNCTION("""COMPUTED_VALUE"""),"41.56310947678099, -88.19844863028565")</f>
        <v>41.56310947678099, -88.19844863028565</v>
      </c>
      <c r="E26" s="3" t="str">
        <f>IFERROR(__xludf.DUMMYFUNCTION("""COMPUTED_VALUE"""),"2300 S Route 59")</f>
        <v>2300 S Route 59</v>
      </c>
      <c r="F26" s="3"/>
      <c r="G26" s="3" t="str">
        <f>IFERROR(__xludf.DUMMYFUNCTION("""COMPUTED_VALUE"""),"Plainfield")</f>
        <v>Plainfield</v>
      </c>
      <c r="H26" s="3" t="str">
        <f>IFERROR(__xludf.DUMMYFUNCTION("""COMPUTED_VALUE"""),"IL")</f>
        <v>IL</v>
      </c>
      <c r="I26" s="3">
        <f>IFERROR(__xludf.DUMMYFUNCTION("""COMPUTED_VALUE"""),60586.0)</f>
        <v>60586</v>
      </c>
      <c r="J26" s="12">
        <f>IFERROR(__xludf.DUMMYFUNCTION("""COMPUTED_VALUE"""),45663.0)</f>
        <v>45663</v>
      </c>
      <c r="K26" s="3"/>
      <c r="L26" s="3" t="str">
        <f>IFERROR(__xludf.DUMMYFUNCTION("""COMPUTED_VALUE"""),"Monday - Sunday")</f>
        <v>Monday - Sunday</v>
      </c>
      <c r="M26" s="3" t="str">
        <f>IFERROR(__xludf.DUMMYFUNCTION("""COMPUTED_VALUE"""),"07:00 AM - 10:00 PM")</f>
        <v>07:00 AM - 10:00 PM</v>
      </c>
      <c r="N26" s="3"/>
      <c r="O26" s="6" t="str">
        <f>IFERROR(__xludf.DUMMYFUNCTION("""COMPUTED_VALUE"""),"https://www.tonysfreshmarket.com/")</f>
        <v>https://www.tonysfreshmarket.com/</v>
      </c>
      <c r="P26" s="3"/>
      <c r="Q26" s="3"/>
      <c r="R26" s="3" t="str">
        <f>IFERROR(__xludf.DUMMYFUNCTION("""COMPUTED_VALUE"""),"Chicago Suburbs")</f>
        <v>Chicago Suburbs</v>
      </c>
      <c r="S26" s="3" t="str">
        <f>IFERROR(__xludf.DUMMYFUNCTION("""COMPUTED_VALUE"""),"$5")</f>
        <v>$5</v>
      </c>
    </row>
    <row r="27">
      <c r="A27" s="3" t="str">
        <f>IFERROR(__xludf.DUMMYFUNCTION("""COMPUTED_VALUE"""),"NOSH Good Mood Food")</f>
        <v>NOSH Good Mood Food</v>
      </c>
      <c r="B27" s="3" t="str">
        <f>IFERROR(__xludf.DUMMYFUNCTION("""COMPUTED_VALUE"""),"Neighborhood Grocer/Small Grocery Store")</f>
        <v>Neighborhood Grocer/Small Grocery Store</v>
      </c>
      <c r="C27" s="3" t="b">
        <f>IFERROR(__xludf.DUMMYFUNCTION("""COMPUTED_VALUE"""),TRUE)</f>
        <v>1</v>
      </c>
      <c r="D27" s="3" t="str">
        <f>IFERROR(__xludf.DUMMYFUNCTION("""COMPUTED_VALUE"""),"41.44400833076638, -90.15348487408556")</f>
        <v>41.44400833076638, -90.15348487408556</v>
      </c>
      <c r="E27" s="3" t="str">
        <f>IFERROR(__xludf.DUMMYFUNCTION("""COMPUTED_VALUE"""),"804 S Oakwood Ave")</f>
        <v>804 S Oakwood Ave</v>
      </c>
      <c r="F27" s="3"/>
      <c r="G27" s="3" t="str">
        <f>IFERROR(__xludf.DUMMYFUNCTION("""COMPUTED_VALUE"""),"Geneseo")</f>
        <v>Geneseo</v>
      </c>
      <c r="H27" s="3" t="str">
        <f>IFERROR(__xludf.DUMMYFUNCTION("""COMPUTED_VALUE"""),"IL")</f>
        <v>IL</v>
      </c>
      <c r="I27" s="3">
        <f>IFERROR(__xludf.DUMMYFUNCTION("""COMPUTED_VALUE"""),61254.0)</f>
        <v>61254</v>
      </c>
      <c r="J27" s="12">
        <f>IFERROR(__xludf.DUMMYFUNCTION("""COMPUTED_VALUE"""),45741.0)</f>
        <v>45741</v>
      </c>
      <c r="K27" s="3"/>
      <c r="L27" s="3" t="str">
        <f>IFERROR(__xludf.DUMMYFUNCTION("""COMPUTED_VALUE"""),"Monday - Friday, Saturday")</f>
        <v>Monday - Friday, Saturday</v>
      </c>
      <c r="M27" s="3" t="str">
        <f>IFERROR(__xludf.DUMMYFUNCTION("""COMPUTED_VALUE"""),"08:00 AM - 06:00 PM, 09:00AM - 02:00PM")</f>
        <v>08:00 AM - 06:00 PM, 09:00AM - 02:00PM</v>
      </c>
      <c r="N27" s="3"/>
      <c r="O27" s="6" t="str">
        <f>IFERROR(__xludf.DUMMYFUNCTION("""COMPUTED_VALUE"""),"https://sites.google.com/view/noshgeneseo/home")</f>
        <v>https://sites.google.com/view/noshgeneseo/home</v>
      </c>
      <c r="P27" s="3"/>
      <c r="Q27" s="3"/>
      <c r="R27" s="3" t="str">
        <f>IFERROR(__xludf.DUMMYFUNCTION("""COMPUTED_VALUE"""),"Central IL")</f>
        <v>Central IL</v>
      </c>
      <c r="S27" s="3" t="str">
        <f>IFERROR(__xludf.DUMMYFUNCTION("""COMPUTED_VALUE"""),"$5")</f>
        <v>$5</v>
      </c>
    </row>
    <row r="28">
      <c r="A28" s="3" t="str">
        <f>IFERROR(__xludf.DUMMYFUNCTION("""COMPUTED_VALUE"""),"Cornucopia Natural Market &amp; Deli")</f>
        <v>Cornucopia Natural Market &amp; Deli</v>
      </c>
      <c r="B28" s="3" t="str">
        <f>IFERROR(__xludf.DUMMYFUNCTION("""COMPUTED_VALUE"""),"Mid-sized Grocery Store")</f>
        <v>Mid-sized Grocery Store</v>
      </c>
      <c r="C28" s="3" t="b">
        <f>IFERROR(__xludf.DUMMYFUNCTION("""COMPUTED_VALUE"""),TRUE)</f>
        <v>1</v>
      </c>
      <c r="D28" s="3" t="str">
        <f>IFERROR(__xludf.DUMMYFUNCTION("""COMPUTED_VALUE"""),"40.946396457151906, -90.36474548733848")</f>
        <v>40.946396457151906, -90.36474548733848</v>
      </c>
      <c r="E28" s="3" t="str">
        <f>IFERROR(__xludf.DUMMYFUNCTION("""COMPUTED_VALUE"""),"176 S. Seminary St
Galesburg, IL 61401")</f>
        <v>176 S. Seminary St
Galesburg, IL 61401</v>
      </c>
      <c r="F28" s="3"/>
      <c r="G28" s="3" t="str">
        <f>IFERROR(__xludf.DUMMYFUNCTION("""COMPUTED_VALUE"""),"Galesburg")</f>
        <v>Galesburg</v>
      </c>
      <c r="H28" s="3" t="str">
        <f>IFERROR(__xludf.DUMMYFUNCTION("""COMPUTED_VALUE"""),"IL")</f>
        <v>IL</v>
      </c>
      <c r="I28" s="3">
        <f>IFERROR(__xludf.DUMMYFUNCTION("""COMPUTED_VALUE"""),61401.0)</f>
        <v>61401</v>
      </c>
      <c r="J28" s="12">
        <f>IFERROR(__xludf.DUMMYFUNCTION("""COMPUTED_VALUE"""),45920.0)</f>
        <v>45920</v>
      </c>
      <c r="K28" s="3"/>
      <c r="L28" s="3" t="str">
        <f>IFERROR(__xludf.DUMMYFUNCTION("""COMPUTED_VALUE"""),"Monday-Friday, Saturday, Sunday")</f>
        <v>Monday-Friday, Saturday, Sunday</v>
      </c>
      <c r="M28" s="3" t="str">
        <f>IFERROR(__xludf.DUMMYFUNCTION("""COMPUTED_VALUE"""),"08:00AM- 07:00PM, 08:00AM-05:00PM, 010:00AM-05:00PM")</f>
        <v>08:00AM- 07:00PM, 08:00AM-05:00PM, 010:00AM-05:00PM</v>
      </c>
      <c r="N28" s="3"/>
      <c r="O28" s="6" t="str">
        <f>IFERROR(__xludf.DUMMYFUNCTION("""COMPUTED_VALUE"""),"https://cornucopianaturalmarket.com/")</f>
        <v>https://cornucopianaturalmarket.com/</v>
      </c>
      <c r="P28" s="3"/>
      <c r="Q28" s="3"/>
      <c r="R28" s="3" t="str">
        <f>IFERROR(__xludf.DUMMYFUNCTION("""COMPUTED_VALUE"""),"Northern IL")</f>
        <v>Northern IL</v>
      </c>
      <c r="S28" s="3" t="str">
        <f>IFERROR(__xludf.DUMMYFUNCTION("""COMPUTED_VALUE"""),"$5")</f>
        <v>$5</v>
      </c>
    </row>
    <row r="29">
      <c r="A29" s="3" t="str">
        <f>IFERROR(__xludf.DUMMYFUNCTION("""COMPUTED_VALUE"""),"Living Fresh Market")</f>
        <v>Living Fresh Market</v>
      </c>
      <c r="B29" s="3" t="str">
        <f>IFERROR(__xludf.DUMMYFUNCTION("""COMPUTED_VALUE"""),"Full-Service Supermarket")</f>
        <v>Full-Service Supermarket</v>
      </c>
      <c r="C29" s="3" t="b">
        <f>IFERROR(__xludf.DUMMYFUNCTION("""COMPUTED_VALUE"""),TRUE)</f>
        <v>1</v>
      </c>
      <c r="D29" s="3" t="str">
        <f>IFERROR(__xludf.DUMMYFUNCTION("""COMPUTED_VALUE"""),"41.86393753601783, -87.81288786931579")</f>
        <v>41.86393753601783, -87.81288786931579</v>
      </c>
      <c r="E29" s="3" t="str">
        <f>IFERROR(__xludf.DUMMYFUNCTION("""COMPUTED_VALUE"""),"7520 Roosevelt Rd.
Forest Park, IL 60130")</f>
        <v>7520 Roosevelt Rd.
Forest Park, IL 60130</v>
      </c>
      <c r="F29" s="3"/>
      <c r="G29" s="3" t="str">
        <f>IFERROR(__xludf.DUMMYFUNCTION("""COMPUTED_VALUE"""),"Forest Park")</f>
        <v>Forest Park</v>
      </c>
      <c r="H29" s="3" t="str">
        <f>IFERROR(__xludf.DUMMYFUNCTION("""COMPUTED_VALUE"""),"IL")</f>
        <v>IL</v>
      </c>
      <c r="I29" s="3">
        <f>IFERROR(__xludf.DUMMYFUNCTION("""COMPUTED_VALUE"""),60130.0)</f>
        <v>60130</v>
      </c>
      <c r="J29" s="12">
        <f>IFERROR(__xludf.DUMMYFUNCTION("""COMPUTED_VALUE"""),45920.0)</f>
        <v>45920</v>
      </c>
      <c r="K29" s="3"/>
      <c r="L29" s="3" t="str">
        <f>IFERROR(__xludf.DUMMYFUNCTION("""COMPUTED_VALUE"""),"Tuesday-Sunday")</f>
        <v>Tuesday-Sunday</v>
      </c>
      <c r="M29" s="3" t="str">
        <f>IFERROR(__xludf.DUMMYFUNCTION("""COMPUTED_VALUE"""),"07:00AM-09:00PM")</f>
        <v>07:00AM-09:00PM</v>
      </c>
      <c r="N29" s="3"/>
      <c r="O29" s="6" t="str">
        <f>IFERROR(__xludf.DUMMYFUNCTION("""COMPUTED_VALUE"""),"https://www.livingfreshmarket.com/")</f>
        <v>https://www.livingfreshmarket.com/</v>
      </c>
      <c r="P29" s="3"/>
      <c r="Q29" s="3"/>
      <c r="R29" s="3" t="str">
        <f>IFERROR(__xludf.DUMMYFUNCTION("""COMPUTED_VALUE"""),"Chicago Suburbs")</f>
        <v>Chicago Suburbs</v>
      </c>
      <c r="S29" s="3" t="str">
        <f>IFERROR(__xludf.DUMMYFUNCTION("""COMPUTED_VALUE"""),"$5")</f>
        <v>$5</v>
      </c>
    </row>
  </sheetData>
  <conditionalFormatting sqref="K1">
    <cfRule type="expression" dxfId="0" priority="1">
      <formula>AND(ISNUMBER(K1),TRUNC(K1)&gt;TODAY())</formula>
    </cfRule>
  </conditionalFormatting>
  <hyperlinks>
    <hyperlink r:id="rId1" ref="O2"/>
    <hyperlink r:id="rId2" ref="O3"/>
    <hyperlink r:id="rId3" ref="O4"/>
    <hyperlink r:id="rId4" ref="O5"/>
    <hyperlink r:id="rId5" ref="O6"/>
    <hyperlink r:id="rId6" ref="O7"/>
    <hyperlink r:id="rId7" ref="O9"/>
    <hyperlink r:id="rId8" ref="O10"/>
    <hyperlink r:id="rId9" ref="O11"/>
    <hyperlink r:id="rId10" ref="O12"/>
    <hyperlink r:id="rId11" ref="O13"/>
    <hyperlink r:id="rId12" ref="O14"/>
    <hyperlink r:id="rId13" ref="O15"/>
    <hyperlink r:id="rId14" ref="O16"/>
    <hyperlink r:id="rId15" ref="O17"/>
    <hyperlink r:id="rId16" ref="O18"/>
    <hyperlink r:id="rId17" ref="O20"/>
    <hyperlink r:id="rId18" ref="O21"/>
    <hyperlink r:id="rId19" ref="O22"/>
    <hyperlink r:id="rId20" ref="O23"/>
    <hyperlink r:id="rId21" ref="O24"/>
    <hyperlink r:id="rId22" ref="O25"/>
    <hyperlink r:id="rId23" ref="O26"/>
    <hyperlink r:id="rId24" ref="O27"/>
    <hyperlink r:id="rId25" ref="O28"/>
    <hyperlink r:id="rId26" ref="O29"/>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19</v>
      </c>
      <c r="B1" s="14" t="s">
        <v>20</v>
      </c>
    </row>
    <row r="2">
      <c r="A2" s="13" t="s">
        <v>21</v>
      </c>
      <c r="B2" s="14" t="s">
        <v>22</v>
      </c>
    </row>
  </sheetData>
  <hyperlinks>
    <hyperlink r:id="rId1" location="gid=0" ref="B1"/>
    <hyperlink r:id="rId2" location="gid=0" ref="B2"/>
  </hyperlinks>
  <drawing r:id="rId3"/>
</worksheet>
</file>